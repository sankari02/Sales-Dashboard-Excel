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hidePivotFieldList="1"/>
  <mc:AlternateContent xmlns:mc="http://schemas.openxmlformats.org/markup-compatibility/2006">
    <mc:Choice Requires="x15">
      <x15ac:absPath xmlns:x15ac="http://schemas.microsoft.com/office/spreadsheetml/2010/11/ac" url="C:\Users\SANKARI.PRIYA\Downloads\"/>
    </mc:Choice>
  </mc:AlternateContent>
  <xr:revisionPtr revIDLastSave="0" documentId="8_{AE318846-6702-4E61-99D5-C48BFB232D89}" xr6:coauthVersionLast="40" xr6:coauthVersionMax="40" xr10:uidLastSave="{00000000-0000-0000-0000-000000000000}"/>
  <bookViews>
    <workbookView xWindow="0" yWindow="0" windowWidth="23040" windowHeight="8928" xr2:uid="{C0893FBD-34B3-420E-B0D6-EC330180DDEA}"/>
  </bookViews>
  <sheets>
    <sheet name="dashboard" sheetId="6" r:id="rId1"/>
    <sheet name="pivot tables" sheetId="5" r:id="rId2"/>
    <sheet name="SalesData" sheetId="3" r:id="rId3"/>
  </sheets>
  <definedNames>
    <definedName name="_xlnm._FilterDatabase" localSheetId="2" hidden="1">SalesData!$K$3:$K$8</definedName>
    <definedName name="Slicer_Product">#N/A</definedName>
    <definedName name="Slicer_Region">#N/A</definedName>
    <definedName name="Slicer_Sales_Person">#N/A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3" l="1"/>
  <c r="G3" i="3"/>
  <c r="H3" i="3"/>
  <c r="I3" i="3"/>
  <c r="K4" i="3"/>
  <c r="I25" i="3"/>
  <c r="I26" i="3"/>
  <c r="I27" i="3"/>
  <c r="I28" i="3"/>
  <c r="I29" i="3"/>
  <c r="I30" i="3"/>
  <c r="I31" i="3"/>
  <c r="I32" i="3"/>
  <c r="I33" i="3"/>
  <c r="I34" i="3"/>
  <c r="I35" i="3"/>
  <c r="I36" i="3"/>
  <c r="I37" i="3"/>
  <c r="I38" i="3"/>
  <c r="I39" i="3"/>
  <c r="I40" i="3"/>
  <c r="I41" i="3"/>
  <c r="I42" i="3"/>
  <c r="I43" i="3"/>
  <c r="I44" i="3"/>
  <c r="I45" i="3"/>
  <c r="I46" i="3"/>
  <c r="I47" i="3"/>
  <c r="I48" i="3"/>
  <c r="I49" i="3"/>
  <c r="I50" i="3"/>
  <c r="I51" i="3"/>
  <c r="I9" i="3"/>
  <c r="I10" i="3"/>
  <c r="I11" i="3"/>
  <c r="I12" i="3"/>
  <c r="I13" i="3"/>
  <c r="I14" i="3"/>
  <c r="I15" i="3"/>
  <c r="I16" i="3"/>
  <c r="I17" i="3"/>
  <c r="I18" i="3"/>
  <c r="I19" i="3"/>
  <c r="I20" i="3"/>
  <c r="I21" i="3"/>
  <c r="I22" i="3"/>
  <c r="I23" i="3"/>
  <c r="I24" i="3"/>
  <c r="I2" i="3"/>
  <c r="G51" i="3" l="1"/>
  <c r="F51" i="3"/>
  <c r="H51" i="3" s="1"/>
  <c r="G50" i="3"/>
  <c r="F50" i="3"/>
  <c r="H50" i="3" s="1"/>
  <c r="G49" i="3"/>
  <c r="F49" i="3"/>
  <c r="H49" i="3" s="1"/>
  <c r="H48" i="3"/>
  <c r="G48" i="3"/>
  <c r="F48" i="3"/>
  <c r="G47" i="3"/>
  <c r="F47" i="3"/>
  <c r="H47" i="3" s="1"/>
  <c r="G46" i="3"/>
  <c r="F46" i="3"/>
  <c r="H46" i="3" s="1"/>
  <c r="H45" i="3"/>
  <c r="G45" i="3"/>
  <c r="F45" i="3"/>
  <c r="H44" i="3"/>
  <c r="G44" i="3"/>
  <c r="F44" i="3"/>
  <c r="G43" i="3"/>
  <c r="F43" i="3"/>
  <c r="H43" i="3" s="1"/>
  <c r="H42" i="3"/>
  <c r="G42" i="3"/>
  <c r="F42" i="3"/>
  <c r="H41" i="3"/>
  <c r="G41" i="3"/>
  <c r="F41" i="3"/>
  <c r="H40" i="3"/>
  <c r="G40" i="3"/>
  <c r="F40" i="3"/>
  <c r="G39" i="3"/>
  <c r="F39" i="3"/>
  <c r="H39" i="3" s="1"/>
  <c r="G38" i="3"/>
  <c r="F38" i="3"/>
  <c r="H38" i="3" s="1"/>
  <c r="G37" i="3"/>
  <c r="F37" i="3"/>
  <c r="H37" i="3" s="1"/>
  <c r="H36" i="3"/>
  <c r="G36" i="3"/>
  <c r="F36" i="3"/>
  <c r="G35" i="3"/>
  <c r="F35" i="3"/>
  <c r="H35" i="3" s="1"/>
  <c r="H34" i="3"/>
  <c r="G34" i="3"/>
  <c r="F34" i="3"/>
  <c r="H33" i="3"/>
  <c r="G33" i="3"/>
  <c r="F33" i="3"/>
  <c r="G32" i="3"/>
  <c r="F32" i="3"/>
  <c r="H32" i="3" s="1"/>
  <c r="H31" i="3"/>
  <c r="G31" i="3"/>
  <c r="F31" i="3"/>
  <c r="G30" i="3"/>
  <c r="F30" i="3"/>
  <c r="H30" i="3" s="1"/>
  <c r="G29" i="3"/>
  <c r="F29" i="3"/>
  <c r="H29" i="3" s="1"/>
  <c r="G28" i="3"/>
  <c r="F28" i="3"/>
  <c r="H28" i="3" s="1"/>
  <c r="G27" i="3"/>
  <c r="F27" i="3"/>
  <c r="H27" i="3" s="1"/>
  <c r="H26" i="3"/>
  <c r="G26" i="3"/>
  <c r="F26" i="3"/>
  <c r="H25" i="3"/>
  <c r="G25" i="3"/>
  <c r="F25" i="3"/>
  <c r="G24" i="3"/>
  <c r="F24" i="3"/>
  <c r="H24" i="3" s="1"/>
  <c r="H23" i="3"/>
  <c r="G23" i="3"/>
  <c r="F23" i="3"/>
  <c r="G22" i="3"/>
  <c r="F22" i="3"/>
  <c r="H22" i="3" s="1"/>
  <c r="G21" i="3"/>
  <c r="F21" i="3"/>
  <c r="H21" i="3" s="1"/>
  <c r="G20" i="3"/>
  <c r="F20" i="3"/>
  <c r="H20" i="3" s="1"/>
  <c r="G19" i="3"/>
  <c r="F19" i="3"/>
  <c r="H19" i="3" s="1"/>
  <c r="H18" i="3"/>
  <c r="G18" i="3"/>
  <c r="F18" i="3"/>
  <c r="H17" i="3"/>
  <c r="G17" i="3"/>
  <c r="F17" i="3"/>
  <c r="G16" i="3"/>
  <c r="F16" i="3"/>
  <c r="H16" i="3" s="1"/>
  <c r="H15" i="3"/>
  <c r="G15" i="3"/>
  <c r="F15" i="3"/>
  <c r="G14" i="3"/>
  <c r="F14" i="3"/>
  <c r="H14" i="3" s="1"/>
  <c r="G13" i="3"/>
  <c r="F13" i="3"/>
  <c r="H13" i="3" s="1"/>
  <c r="H12" i="3"/>
  <c r="G12" i="3"/>
  <c r="F12" i="3"/>
  <c r="G11" i="3"/>
  <c r="F11" i="3"/>
  <c r="H11" i="3" s="1"/>
  <c r="H10" i="3"/>
  <c r="G10" i="3"/>
  <c r="F10" i="3"/>
  <c r="H9" i="3"/>
  <c r="G9" i="3"/>
  <c r="F9" i="3"/>
  <c r="G8" i="3"/>
  <c r="F8" i="3"/>
  <c r="H8" i="3" s="1"/>
  <c r="I8" i="3" s="1"/>
  <c r="G7" i="3"/>
  <c r="F7" i="3"/>
  <c r="H7" i="3" s="1"/>
  <c r="I7" i="3" s="1"/>
  <c r="G6" i="3"/>
  <c r="F6" i="3"/>
  <c r="H6" i="3" s="1"/>
  <c r="I6" i="3" s="1"/>
  <c r="G5" i="3"/>
  <c r="F5" i="3"/>
  <c r="H5" i="3" s="1"/>
  <c r="I5" i="3" s="1"/>
  <c r="G4" i="3"/>
  <c r="F4" i="3"/>
  <c r="H4" i="3" s="1"/>
  <c r="H2" i="3"/>
  <c r="G2" i="3"/>
  <c r="F2" i="3"/>
  <c r="I4" i="3" l="1"/>
  <c r="K6" i="3" s="1"/>
  <c r="K2" i="3"/>
  <c r="K8" i="3"/>
</calcChain>
</file>

<file path=xl/sharedStrings.xml><?xml version="1.0" encoding="utf-8"?>
<sst xmlns="http://schemas.openxmlformats.org/spreadsheetml/2006/main" count="203" uniqueCount="38">
  <si>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</si>
  <si>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</si>
  <si>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</si>
  <si>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</si>
  <si>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</si>
  <si>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</si>
  <si>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</si>
  <si>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</si>
  <si>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</si>
  <si>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</si>
  <si>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</si>
  <si>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</si>
  <si>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</si>
  <si>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</si>
  <si>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</si>
  <si>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</si>
  <si>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</si>
  <si>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</si>
  <si>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</si>
  <si>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</si>
  <si>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</si>
  <si>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</si>
  <si>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</si>
  <si>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</si>
  <si>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</si>
  <si>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</si>
  <si>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</si>
  <si>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</si>
  <si>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</si>
  <si>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</si>
  <si>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unit sold</t>
  </si>
  <si>
    <t>total profit</t>
  </si>
  <si>
    <t>average sales</t>
  </si>
  <si>
    <t>profit</t>
  </si>
  <si>
    <t>Row Labels</t>
  </si>
  <si>
    <t>Grand Total</t>
  </si>
  <si>
    <t>Sum of Units Sold</t>
  </si>
  <si>
    <t>Sum of sales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</si>
</sst>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quot;Rs.&quot;\ * #,##0_ ;_ &quot;Rs.&quot;\ * \-#,##0_ ;_ &quot;Rs.&quot;\ * &quot;-&quot;_ ;_ @_ "/>
    <numFmt numFmtId="165" formatCode="0.00&quot; L&quot;"/>
  </numFmts>
  <fonts count="3">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Border="1" applyAlignment="1">
      <alignment horizontal="center" vertical="center"/>
    </xf>
    <xf numFmtId="164" fontId="0" fillId="0" borderId="0" xfId="0" applyNumberFormat="1"/>
    <xf numFmtId="0" fontId="0" fillId="0" borderId="0" xfId="0" pivotButton="1"/>
    <xf numFmtId="0" fontId="0" fillId="0" borderId="0" xfId="0" applyNumberFormat="1"/>
    <xf numFmtId="165" fontId="0" fillId="0" borderId="0" xfId="0" applyNumberFormat="1"/>
    <xf numFmtId="2" fontId="0" fillId="0" borderId="0" xfId="0" applyNumberFormat="1"/>
    <xf numFmtId="43" fontId="0" fillId="0" borderId="0" xfId="2" applyFont="1"/>
  </cellXfs>
  <cellStyles count="3">
    <cellStyle name="Comma" xfId="2" builtinId="3"/>
    <cellStyle name="Currency [0]" xfId="1" builtinId="7"/>
    <cellStyle name="Normal" xfId="0" builtinId="0"/>
  </cellStyles>
  <dxfs count="8">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tables!PivotTable8</c:name>
    <c:fmtId val="24"/>
  </c:pivotSource>
  <c:chart>
    <c:autoTitleDeleted val="1"/>
    <c:pivotFmts>
      <c:pivotFmt>
        <c:idx val="0"/>
        <c:spPr>
          <a:pattFill prst="ltUpDiag">
            <a:fgClr>
              <a:schemeClr val="accent1"/>
            </a:fgClr>
            <a:bgClr>
              <a:schemeClr val="lt1"/>
            </a:bgClr>
          </a:pattFill>
          <a:ln w="31750" cap="rnd">
            <a:solidFill>
              <a:schemeClr val="accent1"/>
            </a:solidFill>
            <a:round/>
          </a:ln>
          <a:effectLst>
            <a:outerShdw dist="25400" dir="2700000" algn="tl" rotWithShape="0">
              <a:schemeClr val="accent1"/>
            </a:outerShdw>
          </a:effectLst>
        </c:spPr>
        <c:marker>
          <c:symbol val="circle"/>
          <c:size val="7"/>
          <c:spPr>
            <a:solidFill>
              <a:schemeClr val="accent1"/>
            </a:solidFill>
            <a:ln w="22225">
              <a:solidFill>
                <a:schemeClr val="accent1"/>
              </a:solidFill>
              <a:round/>
            </a:ln>
            <a:effectLst/>
          </c:spPr>
        </c:marker>
        <c:dLbl>
          <c:idx val="0"/>
          <c:spPr>
            <a:solidFill>
              <a:schemeClr val="accent1"/>
            </a:solidFill>
            <a:ln cap="rnd">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1750" cap="rnd">
            <a:solidFill>
              <a:schemeClr val="accent1"/>
            </a:solidFill>
            <a:round/>
          </a:ln>
          <a:effectLst>
            <a:outerShdw dist="25400" dir="2700000" algn="tl" rotWithShape="0">
              <a:schemeClr val="accent1"/>
            </a:outerShdw>
          </a:effectLst>
        </c:spPr>
        <c:marker>
          <c:symbol val="circle"/>
          <c:size val="7"/>
          <c:spPr>
            <a:solidFill>
              <a:schemeClr val="accent1"/>
            </a:solidFill>
            <a:ln w="22225">
              <a:solidFill>
                <a:schemeClr val="accent1"/>
              </a:solidFill>
              <a:round/>
            </a:ln>
            <a:effectLst/>
          </c:spPr>
        </c:marker>
        <c:dLbl>
          <c:idx val="0"/>
          <c:spPr>
            <a:solidFill>
              <a:schemeClr val="accent1"/>
            </a:solidFill>
            <a:ln cap="rnd">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dist="25400" dir="2700000" algn="tl" rotWithShape="0">
              <a:schemeClr val="accent1"/>
            </a:outerShdw>
          </a:effectLst>
        </c:spPr>
        <c:marker>
          <c:symbol val="circle"/>
          <c:size val="7"/>
          <c:spPr>
            <a:solidFill>
              <a:schemeClr val="accent1"/>
            </a:solidFill>
            <a:ln w="22225">
              <a:solidFill>
                <a:schemeClr val="accent1"/>
              </a:solidFill>
              <a:round/>
            </a:ln>
            <a:effectLst/>
          </c:spPr>
        </c:marker>
        <c:dLbl>
          <c:idx val="0"/>
          <c:spPr>
            <a:solidFill>
              <a:schemeClr val="accent1"/>
            </a:solidFill>
            <a:ln cap="rnd">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0176201751005E-2"/>
          <c:y val="6.1969704038136897E-2"/>
          <c:w val="0.90799825021872271"/>
          <c:h val="0.8007654977686105"/>
        </c:manualLayout>
      </c:layout>
      <c:lineChart>
        <c:grouping val="standard"/>
        <c:varyColors val="0"/>
        <c:ser>
          <c:idx val="0"/>
          <c:order val="0"/>
          <c:tx>
            <c:strRef>
              <c:f>'pivot tables'!$L$3</c:f>
              <c:strCache>
                <c:ptCount val="1"/>
                <c:pt idx="0">
                  <c:v>Total</c:v>
                </c:pt>
              </c:strCache>
            </c:strRef>
          </c:tx>
          <c:spPr>
            <a:ln w="31750" cap="rnd">
              <a:solidFill>
                <a:schemeClr val="accent1"/>
              </a:solidFill>
              <a:round/>
            </a:ln>
            <a:effectLst>
              <a:outerShdw dist="25400" dir="2700000" algn="tl" rotWithShape="0">
                <a:schemeClr val="accent1"/>
              </a:outerShdw>
            </a:effectLst>
          </c:spPr>
          <c:marker>
            <c:symbol val="circle"/>
            <c:size val="7"/>
            <c:spPr>
              <a:solidFill>
                <a:schemeClr val="accent1"/>
              </a:solidFill>
              <a:ln w="22225">
                <a:solidFill>
                  <a:schemeClr val="accent1"/>
                </a:solidFill>
                <a:round/>
              </a:ln>
              <a:effectLst/>
            </c:spPr>
          </c:marker>
          <c:dLbls>
            <c:spPr>
              <a:solidFill>
                <a:schemeClr val="accent1"/>
              </a:solidFill>
              <a:ln cap="rnd">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tables'!$K$4:$K$11</c:f>
              <c:strCache>
                <c:ptCount val="7"/>
                <c:pt idx="0">
                  <c:v>Action Figure</c:v>
                </c:pt>
                <c:pt idx="1">
                  <c:v>Blender</c:v>
                </c:pt>
                <c:pt idx="2">
                  <c:v>Moisturizer</c:v>
                </c:pt>
                <c:pt idx="3">
                  <c:v>Novel</c:v>
                </c:pt>
                <c:pt idx="4">
                  <c:v>Smartphone</c:v>
                </c:pt>
                <c:pt idx="5">
                  <c:v>Sneakers</c:v>
                </c:pt>
                <c:pt idx="6">
                  <c:v>Tent</c:v>
                </c:pt>
              </c:strCache>
            </c:strRef>
          </c:cat>
          <c:val>
            <c:numRef>
              <c:f>'pivot tables'!$L$4:$L$11</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E146-487E-8201-44A9644AEA7C}"/>
            </c:ext>
          </c:extLst>
        </c:ser>
        <c:dLbls>
          <c:dLblPos val="t"/>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234216991"/>
        <c:axId val="1240435311"/>
      </c:lineChart>
      <c:catAx>
        <c:axId val="1234216991"/>
        <c:scaling>
          <c:orientation val="minMax"/>
        </c:scaling>
        <c:delete val="0"/>
        <c:axPos val="b"/>
        <c:numFmt formatCode="General" sourceLinked="1"/>
        <c:majorTickMark val="out"/>
        <c:minorTickMark val="none"/>
        <c:tickLblPos val="nextTo"/>
        <c:spPr>
          <a:solidFill>
            <a:schemeClr val="bg1"/>
          </a:solidFill>
          <a:ln w="12700" cap="flat" cmpd="sng" algn="ctr">
            <a:noFill/>
            <a:round/>
          </a:ln>
          <a:effectLst/>
        </c:spPr>
        <c:txPr>
          <a:bodyPr rot="-60000000" spcFirstLastPara="1" vertOverflow="ellipsis" vert="horz" wrap="square" anchor="ctr" anchorCtr="1"/>
          <a:lstStyle/>
          <a:p>
            <a:pPr>
              <a:defRPr sz="900" b="1" i="0" u="none" strike="noStrike" kern="1200" spc="100" baseline="0">
                <a:solidFill>
                  <a:schemeClr val="accent1"/>
                </a:solidFill>
                <a:latin typeface="+mn-lt"/>
                <a:ea typeface="+mn-ea"/>
                <a:cs typeface="+mn-cs"/>
              </a:defRPr>
            </a:pPr>
            <a:endParaRPr lang="en-US"/>
          </a:p>
        </c:txPr>
        <c:crossAx val="1240435311"/>
        <c:crosses val="autoZero"/>
        <c:auto val="1"/>
        <c:lblAlgn val="ctr"/>
        <c:lblOffset val="100"/>
        <c:noMultiLvlLbl val="0"/>
      </c:catAx>
      <c:valAx>
        <c:axId val="1240435311"/>
        <c:scaling>
          <c:orientation val="minMax"/>
        </c:scaling>
        <c:delete val="1"/>
        <c:axPos val="l"/>
        <c:numFmt formatCode="General" sourceLinked="1"/>
        <c:majorTickMark val="out"/>
        <c:minorTickMark val="none"/>
        <c:tickLblPos val="nextTo"/>
        <c:crossAx val="123421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388899825021871"/>
              <c:y val="-9.02775955088947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6111111111108"/>
                  <c:h val="9.7152960046660811E-2"/>
                </c:manualLayout>
              </c15:layout>
            </c:ext>
          </c:extLst>
        </c:dLbl>
      </c:pivotFmt>
      <c:pivotFmt>
        <c:idx val="2"/>
        <c:spPr>
          <a:solidFill>
            <a:schemeClr val="accent2"/>
          </a:solidFill>
          <a:ln w="19050">
            <a:solidFill>
              <a:schemeClr val="lt1"/>
            </a:solidFill>
          </a:ln>
          <a:effectLst/>
        </c:spPr>
        <c:dLbl>
          <c:idx val="0"/>
          <c:layout>
            <c:manualLayout>
              <c:x val="0.18472222222222232"/>
              <c:y val="6.01853674540682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80555555555555"/>
                  <c:h val="8.3264071157771929E-2"/>
                </c:manualLayout>
              </c15:layout>
            </c:ext>
          </c:extLst>
        </c:dLbl>
      </c:pivotFmt>
      <c:pivotFmt>
        <c:idx val="3"/>
        <c:spPr>
          <a:solidFill>
            <a:schemeClr val="accent3"/>
          </a:solidFill>
          <a:ln w="19050">
            <a:solidFill>
              <a:schemeClr val="lt1"/>
            </a:solidFill>
          </a:ln>
          <a:effectLst/>
        </c:spPr>
        <c:dLbl>
          <c:idx val="0"/>
          <c:layout>
            <c:manualLayout>
              <c:x val="-0.18750010936132983"/>
              <c:y val="3.009241032370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13888888888888"/>
                  <c:h val="7.8634441528142307E-2"/>
                </c:manualLayout>
              </c15:layout>
            </c:ext>
          </c:extLst>
        </c:dLbl>
      </c:pivotFmt>
      <c:pivotFmt>
        <c:idx val="4"/>
        <c:spPr>
          <a:solidFill>
            <a:schemeClr val="accent4"/>
          </a:solidFill>
          <a:ln w="19050">
            <a:solidFill>
              <a:schemeClr val="lt1"/>
            </a:solidFill>
          </a:ln>
          <a:effectLst/>
        </c:spPr>
        <c:dLbl>
          <c:idx val="0"/>
          <c:layout>
            <c:manualLayout>
              <c:x val="-0.17499999999999999"/>
              <c:y val="-6.94444444444444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69444444444444"/>
                  <c:h val="9.2523330417031202E-2"/>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388899825021871"/>
              <c:y val="-9.02775955088947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6111111111108"/>
                  <c:h val="9.7152960046660811E-2"/>
                </c:manualLayout>
              </c15:layout>
            </c:ext>
          </c:extLst>
        </c:dLbl>
      </c:pivotFmt>
      <c:pivotFmt>
        <c:idx val="7"/>
        <c:spPr>
          <a:solidFill>
            <a:schemeClr val="accent1"/>
          </a:solidFill>
          <a:ln w="19050">
            <a:solidFill>
              <a:schemeClr val="lt1"/>
            </a:solidFill>
          </a:ln>
          <a:effectLst/>
        </c:spPr>
        <c:dLbl>
          <c:idx val="0"/>
          <c:layout>
            <c:manualLayout>
              <c:x val="0.18472222222222232"/>
              <c:y val="6.01853674540682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80555555555555"/>
                  <c:h val="8.3264071157771929E-2"/>
                </c:manualLayout>
              </c15:layout>
            </c:ext>
          </c:extLst>
        </c:dLbl>
      </c:pivotFmt>
      <c:pivotFmt>
        <c:idx val="8"/>
        <c:spPr>
          <a:solidFill>
            <a:schemeClr val="accent1"/>
          </a:solidFill>
          <a:ln w="19050">
            <a:solidFill>
              <a:schemeClr val="lt1"/>
            </a:solidFill>
          </a:ln>
          <a:effectLst/>
        </c:spPr>
        <c:dLbl>
          <c:idx val="0"/>
          <c:layout>
            <c:manualLayout>
              <c:x val="-0.18750010936132983"/>
              <c:y val="3.009241032370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13888888888888"/>
                  <c:h val="7.8634441528142307E-2"/>
                </c:manualLayout>
              </c15:layout>
            </c:ext>
          </c:extLst>
        </c:dLbl>
      </c:pivotFmt>
      <c:pivotFmt>
        <c:idx val="9"/>
        <c:spPr>
          <a:solidFill>
            <a:schemeClr val="accent1"/>
          </a:solidFill>
          <a:ln w="19050">
            <a:solidFill>
              <a:schemeClr val="lt1"/>
            </a:solidFill>
          </a:ln>
          <a:effectLst/>
        </c:spPr>
        <c:dLbl>
          <c:idx val="0"/>
          <c:layout>
            <c:manualLayout>
              <c:x val="-0.17499999999999999"/>
              <c:y val="-6.94444444444444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69444444444444"/>
                  <c:h val="9.2523330417031202E-2"/>
                </c:manualLayout>
              </c15:layout>
            </c:ext>
          </c:extLst>
        </c:dLbl>
      </c:pivotFmt>
      <c:pivotFmt>
        <c:idx val="10"/>
        <c:spPr>
          <a:solidFill>
            <a:schemeClr val="accent1"/>
          </a:solidFill>
          <a:ln w="19050">
            <a:solidFill>
              <a:schemeClr val="lt1"/>
            </a:solidFill>
          </a:ln>
          <a:effectLst/>
        </c:spPr>
        <c:marker>
          <c:symbol val="none"/>
        </c:marker>
        <c:dLbl>
          <c:idx val="0"/>
          <c:spPr>
            <a:noFill/>
            <a:ln>
              <a:solidFill>
                <a:schemeClr val="accent1">
                  <a:alpha val="99000"/>
                </a:schemeClr>
              </a:solidFill>
            </a:ln>
            <a:effectLst/>
          </c:spPr>
          <c:txPr>
            <a:bodyPr rot="0" spcFirstLastPara="1" vertOverflow="overflow" horzOverflow="overflow" vert="horz" wrap="square" lIns="36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dLbl>
          <c:idx val="0"/>
          <c:layout>
            <c:manualLayout>
              <c:x val="0.21279142736313655"/>
              <c:y val="-7.46426468508814E-2"/>
            </c:manualLayout>
          </c:layout>
          <c:spPr>
            <a:noFill/>
            <a:ln>
              <a:solidFill>
                <a:schemeClr val="accent1">
                  <a:alpha val="99000"/>
                </a:schemeClr>
              </a:solidFill>
            </a:ln>
            <a:effectLst/>
          </c:spPr>
          <c:txPr>
            <a:bodyPr rot="0" spcFirstLastPara="1" vertOverflow="overflow" horzOverflow="overflow" vert="horz" wrap="square" lIns="36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311231815975491"/>
                  <c:h val="0.12115571444952596"/>
                </c:manualLayout>
              </c15:layout>
            </c:ext>
          </c:extLst>
        </c:dLbl>
      </c:pivotFmt>
      <c:pivotFmt>
        <c:idx val="12"/>
        <c:spPr>
          <a:solidFill>
            <a:schemeClr val="accent1"/>
          </a:solidFill>
          <a:ln w="19050">
            <a:solidFill>
              <a:schemeClr val="lt1"/>
            </a:solidFill>
          </a:ln>
          <a:effectLst/>
        </c:spPr>
        <c:dLbl>
          <c:idx val="0"/>
          <c:layout>
            <c:manualLayout>
              <c:x val="0.18472233223840351"/>
              <c:y val="6.0185367454068245E-2"/>
            </c:manualLayout>
          </c:layout>
          <c:spPr>
            <a:noFill/>
            <a:ln>
              <a:solidFill>
                <a:schemeClr val="accent1">
                  <a:alpha val="99000"/>
                </a:schemeClr>
              </a:solidFill>
            </a:ln>
            <a:effectLst/>
          </c:spPr>
          <c:txPr>
            <a:bodyPr rot="0" spcFirstLastPara="1" vertOverflow="overflow" horzOverflow="overflow" vert="horz" wrap="square" lIns="36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w="19050">
            <a:solidFill>
              <a:schemeClr val="lt1"/>
            </a:solidFill>
          </a:ln>
          <a:effectLst/>
        </c:spPr>
        <c:dLbl>
          <c:idx val="0"/>
          <c:layout>
            <c:manualLayout>
              <c:x val="-0.18749999934514866"/>
              <c:y val="3.0092410323709535E-2"/>
            </c:manualLayout>
          </c:layout>
          <c:spPr>
            <a:noFill/>
            <a:ln>
              <a:solidFill>
                <a:schemeClr val="accent1">
                  <a:alpha val="99000"/>
                </a:schemeClr>
              </a:solidFill>
            </a:ln>
            <a:effectLst/>
          </c:spPr>
          <c:txPr>
            <a:bodyPr rot="0" spcFirstLastPara="1" vertOverflow="overflow" horzOverflow="overflow" vert="horz" wrap="square" lIns="36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chemeClr val="lt1"/>
            </a:solidFill>
          </a:ln>
          <a:effectLst/>
        </c:spPr>
        <c:dLbl>
          <c:idx val="0"/>
          <c:layout>
            <c:manualLayout>
              <c:x val="-0.17499988998381882"/>
              <c:y val="-6.9444444444444489E-2"/>
            </c:manualLayout>
          </c:layout>
          <c:spPr>
            <a:noFill/>
            <a:ln>
              <a:solidFill>
                <a:schemeClr val="accent1">
                  <a:alpha val="99000"/>
                </a:schemeClr>
              </a:solidFill>
            </a:ln>
            <a:effectLst/>
          </c:spPr>
          <c:txPr>
            <a:bodyPr rot="0" spcFirstLastPara="1" vertOverflow="overflow" horzOverflow="overflow" vert="horz" wrap="square" lIns="36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8B-4FEB-B60A-FF9A20724A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8B-4FEB-B60A-FF9A20724A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8B-4FEB-B60A-FF9A20724A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8B-4FEB-B60A-FF9A20724A60}"/>
              </c:ext>
            </c:extLst>
          </c:dPt>
          <c:dLbls>
            <c:dLbl>
              <c:idx val="0"/>
              <c:layout>
                <c:manualLayout>
                  <c:x val="0.21279142736313655"/>
                  <c:y val="-7.46426468508814E-2"/>
                </c:manualLayout>
              </c:layout>
              <c:spPr>
                <a:noFill/>
                <a:ln>
                  <a:solidFill>
                    <a:schemeClr val="accent1">
                      <a:alpha val="99000"/>
                    </a:schemeClr>
                  </a:solidFill>
                </a:ln>
                <a:effectLst/>
              </c:spPr>
              <c:txPr>
                <a:bodyPr rot="0" spcFirstLastPara="1" vertOverflow="overflow" horzOverflow="overflow" vert="horz" wrap="square" lIns="36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3311231815975491"/>
                      <c:h val="0.12115571444952596"/>
                    </c:manualLayout>
                  </c15:layout>
                </c:ext>
                <c:ext xmlns:c16="http://schemas.microsoft.com/office/drawing/2014/chart" uri="{C3380CC4-5D6E-409C-BE32-E72D297353CC}">
                  <c16:uniqueId val="{00000001-D58B-4FEB-B60A-FF9A20724A60}"/>
                </c:ext>
              </c:extLst>
            </c:dLbl>
            <c:dLbl>
              <c:idx val="1"/>
              <c:layout>
                <c:manualLayout>
                  <c:x val="0.18472233223840351"/>
                  <c:y val="6.0185367454068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8B-4FEB-B60A-FF9A20724A60}"/>
                </c:ext>
              </c:extLst>
            </c:dLbl>
            <c:dLbl>
              <c:idx val="2"/>
              <c:layout>
                <c:manualLayout>
                  <c:x val="-0.18749999934514866"/>
                  <c:y val="3.00924103237095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8B-4FEB-B60A-FF9A20724A60}"/>
                </c:ext>
              </c:extLst>
            </c:dLbl>
            <c:dLbl>
              <c:idx val="3"/>
              <c:layout>
                <c:manualLayout>
                  <c:x val="-0.17499988998381882"/>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8B-4FEB-B60A-FF9A20724A60}"/>
                </c:ext>
              </c:extLst>
            </c:dLbl>
            <c:spPr>
              <a:noFill/>
              <a:ln>
                <a:solidFill>
                  <a:schemeClr val="accent1">
                    <a:alpha val="99000"/>
                  </a:schemeClr>
                </a:solidFill>
              </a:ln>
              <a:effectLst/>
            </c:spPr>
            <c:txPr>
              <a:bodyPr rot="0" spcFirstLastPara="1" vertOverflow="overflow" horzOverflow="overflow" vert="horz" wrap="square" lIns="36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tables'!$A$4:$A$8</c:f>
              <c:strCache>
                <c:ptCount val="4"/>
                <c:pt idx="0">
                  <c:v>East</c:v>
                </c:pt>
                <c:pt idx="1">
                  <c:v>North</c:v>
                </c:pt>
                <c:pt idx="2">
                  <c:v>South</c:v>
                </c:pt>
                <c:pt idx="3">
                  <c:v>West</c:v>
                </c:pt>
              </c:strCache>
            </c:strRef>
          </c:cat>
          <c:val>
            <c:numRef>
              <c:f>'pivot tables'!$B$4:$B$8</c:f>
              <c:numCache>
                <c:formatCode>0.00" L"</c:formatCode>
                <c:ptCount val="4"/>
                <c:pt idx="0">
                  <c:v>35.344000000000001</c:v>
                </c:pt>
                <c:pt idx="1">
                  <c:v>26.614000000000001</c:v>
                </c:pt>
                <c:pt idx="2">
                  <c:v>28.706</c:v>
                </c:pt>
                <c:pt idx="3">
                  <c:v>38.780999999999999</c:v>
                </c:pt>
              </c:numCache>
            </c:numRef>
          </c:val>
          <c:extLst>
            <c:ext xmlns:c16="http://schemas.microsoft.com/office/drawing/2014/chart" uri="{C3380CC4-5D6E-409C-BE32-E72D297353CC}">
              <c16:uniqueId val="{00000008-D58B-4FEB-B60A-FF9A20724A6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tables!PivotTable6</c:name>
    <c:fmtId val="9"/>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0754914376962"/>
          <c:y val="1.2645858966593574E-2"/>
          <c:w val="0.79377930883639547"/>
          <c:h val="0.89814814814814814"/>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0.00" L"</c:formatCode>
                <c:ptCount val="7"/>
                <c:pt idx="0">
                  <c:v>5.4720000000000004</c:v>
                </c:pt>
                <c:pt idx="1">
                  <c:v>22.225000000000001</c:v>
                </c:pt>
                <c:pt idx="2">
                  <c:v>7.0679999999999996</c:v>
                </c:pt>
                <c:pt idx="3">
                  <c:v>8.98</c:v>
                </c:pt>
                <c:pt idx="4">
                  <c:v>23.5</c:v>
                </c:pt>
                <c:pt idx="5">
                  <c:v>31.96</c:v>
                </c:pt>
                <c:pt idx="6">
                  <c:v>30.24</c:v>
                </c:pt>
              </c:numCache>
            </c:numRef>
          </c:val>
          <c:extLst>
            <c:ext xmlns:c16="http://schemas.microsoft.com/office/drawing/2014/chart" uri="{C3380CC4-5D6E-409C-BE32-E72D297353CC}">
              <c16:uniqueId val="{00000000-1435-4CBD-A2D5-3C0889BB3199}"/>
            </c:ext>
          </c:extLst>
        </c:ser>
        <c:dLbls>
          <c:dLblPos val="outEnd"/>
          <c:showLegendKey val="0"/>
          <c:showVal val="1"/>
          <c:showCatName val="0"/>
          <c:showSerName val="0"/>
          <c:showPercent val="0"/>
          <c:showBubbleSize val="0"/>
        </c:dLbls>
        <c:gapWidth val="52"/>
        <c:axId val="1127734735"/>
        <c:axId val="852661183"/>
      </c:barChart>
      <c:catAx>
        <c:axId val="112773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61183"/>
        <c:crosses val="autoZero"/>
        <c:auto val="1"/>
        <c:lblAlgn val="ctr"/>
        <c:lblOffset val="100"/>
        <c:noMultiLvlLbl val="0"/>
      </c:catAx>
      <c:valAx>
        <c:axId val="852661183"/>
        <c:scaling>
          <c:orientation val="minMax"/>
        </c:scaling>
        <c:delete val="0"/>
        <c:axPos val="b"/>
        <c:majorGridlines>
          <c:spPr>
            <a:ln w="9525" cap="flat" cmpd="sng" algn="ctr">
              <a:solidFill>
                <a:schemeClr val="tx1">
                  <a:lumMod val="15000"/>
                  <a:lumOff val="85000"/>
                </a:schemeClr>
              </a:solidFill>
              <a:round/>
            </a:ln>
            <a:effectLst/>
          </c:spPr>
        </c:majorGridlines>
        <c:numFmt formatCode="0.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3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77183148716582E-2"/>
          <c:y val="4.0317368392424634E-2"/>
          <c:w val="0.93888888888888888"/>
          <c:h val="0.8416746864975212"/>
        </c:manualLayout>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0.00" L"</c:formatCode>
                <c:ptCount val="10"/>
                <c:pt idx="0">
                  <c:v>15.916</c:v>
                </c:pt>
                <c:pt idx="1">
                  <c:v>6.7759999999999998</c:v>
                </c:pt>
                <c:pt idx="2">
                  <c:v>19.57</c:v>
                </c:pt>
                <c:pt idx="3">
                  <c:v>16.614000000000001</c:v>
                </c:pt>
                <c:pt idx="4">
                  <c:v>17.411999999999999</c:v>
                </c:pt>
                <c:pt idx="5">
                  <c:v>11.1</c:v>
                </c:pt>
                <c:pt idx="6">
                  <c:v>17.774000000000001</c:v>
                </c:pt>
                <c:pt idx="7">
                  <c:v>10.654</c:v>
                </c:pt>
                <c:pt idx="8">
                  <c:v>7.8440000000000003</c:v>
                </c:pt>
                <c:pt idx="9">
                  <c:v>5.7850000000000001</c:v>
                </c:pt>
              </c:numCache>
            </c:numRef>
          </c:val>
          <c:extLst>
            <c:ext xmlns:c16="http://schemas.microsoft.com/office/drawing/2014/chart" uri="{C3380CC4-5D6E-409C-BE32-E72D297353CC}">
              <c16:uniqueId val="{00000000-2CBC-49CE-86FE-EE7A2DB555F4}"/>
            </c:ext>
          </c:extLst>
        </c:ser>
        <c:dLbls>
          <c:dLblPos val="outEnd"/>
          <c:showLegendKey val="0"/>
          <c:showVal val="1"/>
          <c:showCatName val="0"/>
          <c:showSerName val="0"/>
          <c:showPercent val="0"/>
          <c:showBubbleSize val="0"/>
        </c:dLbls>
        <c:gapWidth val="77"/>
        <c:overlap val="-27"/>
        <c:axId val="1127743535"/>
        <c:axId val="1226093823"/>
      </c:barChart>
      <c:catAx>
        <c:axId val="112774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93823"/>
        <c:crosses val="autoZero"/>
        <c:auto val="1"/>
        <c:lblAlgn val="ctr"/>
        <c:lblOffset val="100"/>
        <c:noMultiLvlLbl val="0"/>
      </c:catAx>
      <c:valAx>
        <c:axId val="1226093823"/>
        <c:scaling>
          <c:orientation val="minMax"/>
        </c:scaling>
        <c:delete val="1"/>
        <c:axPos val="l"/>
        <c:numFmt formatCode="0.00&quot; L&quot;" sourceLinked="1"/>
        <c:majorTickMark val="none"/>
        <c:minorTickMark val="none"/>
        <c:tickLblPos val="nextTo"/>
        <c:crossAx val="112774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p>
          <a:p>
            <a:pPr>
              <a:defRPr/>
            </a:pPr>
            <a:endParaRPr lang="en-IN"/>
          </a:p>
        </c:rich>
      </c:tx>
      <c:layout>
        <c:manualLayout>
          <c:xMode val="edge"/>
          <c:yMode val="edge"/>
          <c:x val="0.3353401137357830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055566491688538"/>
              <c:y val="-7.638870662000588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6111111111108"/>
                  <c:h val="9.7152960046660811E-2"/>
                </c:manualLayout>
              </c15:layout>
            </c:ext>
          </c:extLst>
        </c:dLbl>
      </c:pivotFmt>
      <c:pivotFmt>
        <c:idx val="2"/>
        <c:spPr>
          <a:solidFill>
            <a:schemeClr val="accent2"/>
          </a:solidFill>
          <a:ln w="19050">
            <a:solidFill>
              <a:schemeClr val="lt1"/>
            </a:solidFill>
          </a:ln>
          <a:effectLst/>
        </c:spPr>
        <c:dLbl>
          <c:idx val="0"/>
          <c:layout>
            <c:manualLayout>
              <c:x val="0.18472222222222232"/>
              <c:y val="6.01853674540682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80555555555555"/>
                  <c:h val="8.3264071157771929E-2"/>
                </c:manualLayout>
              </c15:layout>
            </c:ext>
          </c:extLst>
        </c:dLbl>
      </c:pivotFmt>
      <c:pivotFmt>
        <c:idx val="3"/>
        <c:spPr>
          <a:solidFill>
            <a:schemeClr val="accent3"/>
          </a:solidFill>
          <a:ln w="19050">
            <a:solidFill>
              <a:schemeClr val="lt1"/>
            </a:solidFill>
          </a:ln>
          <a:effectLst/>
        </c:spPr>
        <c:dLbl>
          <c:idx val="0"/>
          <c:layout>
            <c:manualLayout>
              <c:x val="-0.18750010936132983"/>
              <c:y val="3.009241032370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13888888888888"/>
                  <c:h val="7.8634441528142307E-2"/>
                </c:manualLayout>
              </c15:layout>
            </c:ext>
          </c:extLst>
        </c:dLbl>
      </c:pivotFmt>
      <c:pivotFmt>
        <c:idx val="4"/>
        <c:spPr>
          <a:solidFill>
            <a:schemeClr val="accent4"/>
          </a:solidFill>
          <a:ln w="19050">
            <a:solidFill>
              <a:schemeClr val="lt1"/>
            </a:solidFill>
          </a:ln>
          <a:effectLst/>
        </c:spPr>
        <c:dLbl>
          <c:idx val="0"/>
          <c:layout>
            <c:manualLayout>
              <c:x val="-0.17499999999999999"/>
              <c:y val="-6.94444444444444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69444444444444"/>
                  <c:h val="9.2523330417031202E-2"/>
                </c:manualLayout>
              </c15:layout>
            </c:ext>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BF-4538-BB60-6E79BE465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4BF-4538-BB60-6E79BE465D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4BF-4538-BB60-6E79BE465D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A4BF-4538-BB60-6E79BE465D0B}"/>
              </c:ext>
            </c:extLst>
          </c:dPt>
          <c:dLbls>
            <c:dLbl>
              <c:idx val="0"/>
              <c:layout>
                <c:manualLayout>
                  <c:x val="0.18055566491688538"/>
                  <c:y val="-7.638870662000588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36111111111108"/>
                      <c:h val="9.7152960046660811E-2"/>
                    </c:manualLayout>
                  </c15:layout>
                </c:ext>
                <c:ext xmlns:c16="http://schemas.microsoft.com/office/drawing/2014/chart" uri="{C3380CC4-5D6E-409C-BE32-E72D297353CC}">
                  <c16:uniqueId val="{00000001-A4BF-4538-BB60-6E79BE465D0B}"/>
                </c:ext>
              </c:extLst>
            </c:dLbl>
            <c:dLbl>
              <c:idx val="1"/>
              <c:layout>
                <c:manualLayout>
                  <c:x val="0.18472222222222232"/>
                  <c:y val="6.01853674540682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80555555555555"/>
                      <c:h val="8.3264071157771929E-2"/>
                    </c:manualLayout>
                  </c15:layout>
                </c:ext>
                <c:ext xmlns:c16="http://schemas.microsoft.com/office/drawing/2014/chart" uri="{C3380CC4-5D6E-409C-BE32-E72D297353CC}">
                  <c16:uniqueId val="{00000002-A4BF-4538-BB60-6E79BE465D0B}"/>
                </c:ext>
              </c:extLst>
            </c:dLbl>
            <c:dLbl>
              <c:idx val="2"/>
              <c:layout>
                <c:manualLayout>
                  <c:x val="-0.18750010936132983"/>
                  <c:y val="3.009241032370953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813888888888888"/>
                      <c:h val="7.8634441528142307E-2"/>
                    </c:manualLayout>
                  </c15:layout>
                </c:ext>
                <c:ext xmlns:c16="http://schemas.microsoft.com/office/drawing/2014/chart" uri="{C3380CC4-5D6E-409C-BE32-E72D297353CC}">
                  <c16:uniqueId val="{00000003-A4BF-4538-BB60-6E79BE465D0B}"/>
                </c:ext>
              </c:extLst>
            </c:dLbl>
            <c:dLbl>
              <c:idx val="3"/>
              <c:layout>
                <c:manualLayout>
                  <c:x val="-0.17499999999999999"/>
                  <c:y val="-6.944444444444448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69444444444444"/>
                      <c:h val="9.2523330417031202E-2"/>
                    </c:manualLayout>
                  </c15:layout>
                </c:ext>
                <c:ext xmlns:c16="http://schemas.microsoft.com/office/drawing/2014/chart" uri="{C3380CC4-5D6E-409C-BE32-E72D297353CC}">
                  <c16:uniqueId val="{00000004-A4BF-4538-BB60-6E79BE465D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0.00" L"</c:formatCode>
                <c:ptCount val="4"/>
                <c:pt idx="0">
                  <c:v>35.344000000000001</c:v>
                </c:pt>
                <c:pt idx="1">
                  <c:v>26.614000000000001</c:v>
                </c:pt>
                <c:pt idx="2">
                  <c:v>28.706</c:v>
                </c:pt>
                <c:pt idx="3">
                  <c:v>38.780999999999999</c:v>
                </c:pt>
              </c:numCache>
            </c:numRef>
          </c:val>
          <c:extLst>
            <c:ext xmlns:c16="http://schemas.microsoft.com/office/drawing/2014/chart" uri="{C3380CC4-5D6E-409C-BE32-E72D297353CC}">
              <c16:uniqueId val="{00000000-A4BF-4538-BB60-6E79BE465D0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tables!PivotTable6</c:name>
    <c:fmtId val="7"/>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22069116360454"/>
          <c:y val="5.0925925925925923E-2"/>
          <c:w val="0.79377930883639547"/>
          <c:h val="0.89814814814814814"/>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0.00" L"</c:formatCode>
                <c:ptCount val="7"/>
                <c:pt idx="0">
                  <c:v>5.4720000000000004</c:v>
                </c:pt>
                <c:pt idx="1">
                  <c:v>22.225000000000001</c:v>
                </c:pt>
                <c:pt idx="2">
                  <c:v>7.0679999999999996</c:v>
                </c:pt>
                <c:pt idx="3">
                  <c:v>8.98</c:v>
                </c:pt>
                <c:pt idx="4">
                  <c:v>23.5</c:v>
                </c:pt>
                <c:pt idx="5">
                  <c:v>31.96</c:v>
                </c:pt>
                <c:pt idx="6">
                  <c:v>30.24</c:v>
                </c:pt>
              </c:numCache>
            </c:numRef>
          </c:val>
          <c:extLst>
            <c:ext xmlns:c16="http://schemas.microsoft.com/office/drawing/2014/chart" uri="{C3380CC4-5D6E-409C-BE32-E72D297353CC}">
              <c16:uniqueId val="{00000000-8099-4656-A13F-EB4132FACDB1}"/>
            </c:ext>
          </c:extLst>
        </c:ser>
        <c:dLbls>
          <c:dLblPos val="outEnd"/>
          <c:showLegendKey val="0"/>
          <c:showVal val="1"/>
          <c:showCatName val="0"/>
          <c:showSerName val="0"/>
          <c:showPercent val="0"/>
          <c:showBubbleSize val="0"/>
        </c:dLbls>
        <c:gapWidth val="52"/>
        <c:axId val="1127734735"/>
        <c:axId val="852661183"/>
      </c:barChart>
      <c:catAx>
        <c:axId val="112773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61183"/>
        <c:crosses val="autoZero"/>
        <c:auto val="1"/>
        <c:lblAlgn val="ctr"/>
        <c:lblOffset val="100"/>
        <c:noMultiLvlLbl val="0"/>
      </c:catAx>
      <c:valAx>
        <c:axId val="852661183"/>
        <c:scaling>
          <c:orientation val="minMax"/>
        </c:scaling>
        <c:delete val="0"/>
        <c:axPos val="b"/>
        <c:majorGridlines>
          <c:spPr>
            <a:ln w="9525" cap="flat" cmpd="sng" algn="ctr">
              <a:solidFill>
                <a:schemeClr val="tx1">
                  <a:lumMod val="15000"/>
                  <a:lumOff val="85000"/>
                </a:schemeClr>
              </a:solidFill>
              <a:round/>
            </a:ln>
            <a:effectLst/>
          </c:spPr>
        </c:majorGridlines>
        <c:numFmt formatCode="0.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3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5.5555555555555552E-2"/>
          <c:w val="0.93888888888888888"/>
          <c:h val="0.8416746864975212"/>
        </c:manualLayout>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0.00" L"</c:formatCode>
                <c:ptCount val="10"/>
                <c:pt idx="0">
                  <c:v>15.916</c:v>
                </c:pt>
                <c:pt idx="1">
                  <c:v>6.7759999999999998</c:v>
                </c:pt>
                <c:pt idx="2">
                  <c:v>19.57</c:v>
                </c:pt>
                <c:pt idx="3">
                  <c:v>16.614000000000001</c:v>
                </c:pt>
                <c:pt idx="4">
                  <c:v>17.411999999999999</c:v>
                </c:pt>
                <c:pt idx="5">
                  <c:v>11.1</c:v>
                </c:pt>
                <c:pt idx="6">
                  <c:v>17.774000000000001</c:v>
                </c:pt>
                <c:pt idx="7">
                  <c:v>10.654</c:v>
                </c:pt>
                <c:pt idx="8">
                  <c:v>7.8440000000000003</c:v>
                </c:pt>
                <c:pt idx="9">
                  <c:v>5.7850000000000001</c:v>
                </c:pt>
              </c:numCache>
            </c:numRef>
          </c:val>
          <c:extLst>
            <c:ext xmlns:c16="http://schemas.microsoft.com/office/drawing/2014/chart" uri="{C3380CC4-5D6E-409C-BE32-E72D297353CC}">
              <c16:uniqueId val="{00000000-55C1-4A93-B943-37B239740869}"/>
            </c:ext>
          </c:extLst>
        </c:ser>
        <c:dLbls>
          <c:dLblPos val="outEnd"/>
          <c:showLegendKey val="0"/>
          <c:showVal val="1"/>
          <c:showCatName val="0"/>
          <c:showSerName val="0"/>
          <c:showPercent val="0"/>
          <c:showBubbleSize val="0"/>
        </c:dLbls>
        <c:gapWidth val="77"/>
        <c:overlap val="-27"/>
        <c:axId val="1127743535"/>
        <c:axId val="1226093823"/>
      </c:barChart>
      <c:catAx>
        <c:axId val="112774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93823"/>
        <c:crosses val="autoZero"/>
        <c:auto val="1"/>
        <c:lblAlgn val="ctr"/>
        <c:lblOffset val="100"/>
        <c:noMultiLvlLbl val="0"/>
      </c:catAx>
      <c:valAx>
        <c:axId val="1226093823"/>
        <c:scaling>
          <c:orientation val="minMax"/>
        </c:scaling>
        <c:delete val="1"/>
        <c:axPos val="l"/>
        <c:numFmt formatCode="0.00&quot; L&quot;" sourceLinked="1"/>
        <c:majorTickMark val="none"/>
        <c:minorTickMark val="none"/>
        <c:tickLblPos val="nextTo"/>
        <c:crossAx val="112774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tables!PivotTable8</c:name>
    <c:fmtId val="19"/>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2.7777777777777776E-2"/>
          <c:w val="0.87753018372703417"/>
          <c:h val="0.89814814814814814"/>
        </c:manualLayout>
      </c:layout>
      <c:lineChart>
        <c:grouping val="standard"/>
        <c:varyColors val="0"/>
        <c:ser>
          <c:idx val="0"/>
          <c:order val="0"/>
          <c:tx>
            <c:strRef>
              <c:f>'pivot tables'!$L$3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tables'!$K$4:$K$11</c:f>
              <c:strCache>
                <c:ptCount val="7"/>
                <c:pt idx="0">
                  <c:v>Action Figure</c:v>
                </c:pt>
                <c:pt idx="1">
                  <c:v>Blender</c:v>
                </c:pt>
                <c:pt idx="2">
                  <c:v>Moisturizer</c:v>
                </c:pt>
                <c:pt idx="3">
                  <c:v>Novel</c:v>
                </c:pt>
                <c:pt idx="4">
                  <c:v>Smartphone</c:v>
                </c:pt>
                <c:pt idx="5">
                  <c:v>Sneakers</c:v>
                </c:pt>
                <c:pt idx="6">
                  <c:v>Tent</c:v>
                </c:pt>
              </c:strCache>
            </c:strRef>
          </c:cat>
          <c:val>
            <c:numRef>
              <c:f>'pivot tables'!$L$4:$L$11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6984-4B7F-9C8F-68C605B5659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27751535"/>
        <c:axId val="1758521391"/>
      </c:lineChart>
      <c:catAx>
        <c:axId val="1127751535"/>
        <c:scaling>
          <c:orientation val="minMax"/>
        </c:scaling>
        <c:delete val="1"/>
        <c:axPos val="b"/>
        <c:numFmt formatCode="General" sourceLinked="1"/>
        <c:majorTickMark val="none"/>
        <c:minorTickMark val="none"/>
        <c:tickLblPos val="nextTo"/>
        <c:crossAx val="1758521391"/>
        <c:crosses val="autoZero"/>
        <c:auto val="1"/>
        <c:lblAlgn val="ctr"/>
        <c:lblOffset val="100"/>
        <c:noMultiLvlLbl val="0"/>
      </c:catAx>
      <c:valAx>
        <c:axId val="1758521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77515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sales.xlsx]pivot tables!PivotTable8</c:name>
    <c:fmtId val="22"/>
  </c:pivotSource>
  <c:chart>
    <c:autoTitleDeleted val="1"/>
    <c:pivotFmts>
      <c:pivotFmt>
        <c:idx val="0"/>
        <c:spPr>
          <a:ln w="31750" cap="rnd">
            <a:solidFill>
              <a:schemeClr val="accent1"/>
            </a:solidFill>
            <a:round/>
          </a:ln>
          <a:effectLst>
            <a:outerShdw dist="25400" dir="2700000" algn="tl" rotWithShape="0">
              <a:schemeClr val="accent1"/>
            </a:outerShdw>
          </a:effectLst>
        </c:spPr>
        <c:marker>
          <c:symbol val="circle"/>
          <c:size val="7"/>
          <c:spPr>
            <a:solidFill>
              <a:schemeClr val="accent1"/>
            </a:solidFill>
            <a:ln w="22225">
              <a:solidFill>
                <a:schemeClr val="accent1"/>
              </a:solidFill>
              <a:round/>
            </a:ln>
            <a:effectLst/>
          </c:spPr>
        </c:marker>
        <c:dLbl>
          <c:idx val="0"/>
          <c:spPr>
            <a:solidFill>
              <a:schemeClr val="accent1"/>
            </a:solidFill>
            <a:ln cap="rnd">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31750" cap="rnd">
              <a:solidFill>
                <a:schemeClr val="accent1"/>
              </a:solidFill>
              <a:round/>
            </a:ln>
            <a:effectLst>
              <a:outerShdw dist="25400" dir="2700000" algn="tl" rotWithShape="0">
                <a:schemeClr val="accent1"/>
              </a:outerShdw>
            </a:effectLst>
          </c:spPr>
          <c:marker>
            <c:symbol val="circle"/>
            <c:size val="7"/>
            <c:spPr>
              <a:solidFill>
                <a:schemeClr val="accent1"/>
              </a:solidFill>
              <a:ln w="22225">
                <a:solidFill>
                  <a:schemeClr val="accent1"/>
                </a:solidFill>
                <a:round/>
              </a:ln>
              <a:effectLst/>
            </c:spPr>
          </c:marker>
          <c:dLbls>
            <c:spPr>
              <a:solidFill>
                <a:schemeClr val="accent1"/>
              </a:solidFill>
              <a:ln cap="rnd">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tables'!$K$4:$K$11</c:f>
              <c:strCache>
                <c:ptCount val="7"/>
                <c:pt idx="0">
                  <c:v>Action Figure</c:v>
                </c:pt>
                <c:pt idx="1">
                  <c:v>Blender</c:v>
                </c:pt>
                <c:pt idx="2">
                  <c:v>Moisturizer</c:v>
                </c:pt>
                <c:pt idx="3">
                  <c:v>Novel</c:v>
                </c:pt>
                <c:pt idx="4">
                  <c:v>Smartphone</c:v>
                </c:pt>
                <c:pt idx="5">
                  <c:v>Sneakers</c:v>
                </c:pt>
                <c:pt idx="6">
                  <c:v>Tent</c:v>
                </c:pt>
              </c:strCache>
            </c:strRef>
          </c:cat>
          <c:val>
            <c:numRef>
              <c:f>'pivot tables'!$L$4:$L$11</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6EC4-4695-B50F-150C1E587A7E}"/>
            </c:ext>
          </c:extLst>
        </c:ser>
        <c:dLbls>
          <c:dLblPos val="t"/>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234216991"/>
        <c:axId val="1240435311"/>
      </c:lineChart>
      <c:catAx>
        <c:axId val="1234216991"/>
        <c:scaling>
          <c:orientation val="minMax"/>
        </c:scaling>
        <c:delete val="0"/>
        <c:axPos val="b"/>
        <c:numFmt formatCode="General" sourceLinked="1"/>
        <c:majorTickMark val="out"/>
        <c:minorTickMark val="none"/>
        <c:tickLblPos val="nextTo"/>
        <c:spPr>
          <a:solidFill>
            <a:schemeClr val="accent1"/>
          </a:solidFill>
          <a:ln w="12700" cap="flat" cmpd="sng" algn="ctr">
            <a:no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0435311"/>
        <c:crosses val="autoZero"/>
        <c:auto val="1"/>
        <c:lblAlgn val="ctr"/>
        <c:lblOffset val="100"/>
        <c:noMultiLvlLbl val="0"/>
      </c:catAx>
      <c:valAx>
        <c:axId val="1240435311"/>
        <c:scaling>
          <c:orientation val="minMax"/>
        </c:scaling>
        <c:delete val="1"/>
        <c:axPos val="l"/>
        <c:numFmt formatCode="General" sourceLinked="1"/>
        <c:majorTickMark val="out"/>
        <c:minorTickMark val="none"/>
        <c:tickLblPos val="nextTo"/>
        <c:crossAx val="123421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19</xdr:col>
      <xdr:colOff>517071</xdr:colOff>
      <xdr:row>4</xdr:row>
      <xdr:rowOff>149400</xdr:rowOff>
    </xdr:to>
    <xdr:sp macro="" textlink="">
      <xdr:nvSpPr>
        <xdr:cNvPr id="2" name="Rectangle: Rounded Corners 1">
          <a:extLst>
            <a:ext uri="{FF2B5EF4-FFF2-40B4-BE49-F238E27FC236}">
              <a16:creationId xmlns:a16="http://schemas.microsoft.com/office/drawing/2014/main" id="{FC82396E-CF76-45D2-8C2D-992828981B3A}"/>
            </a:ext>
          </a:extLst>
        </xdr:cNvPr>
        <xdr:cNvSpPr/>
      </xdr:nvSpPr>
      <xdr:spPr>
        <a:xfrm>
          <a:off x="0" y="15240"/>
          <a:ext cx="13271500" cy="823589"/>
        </a:xfrm>
        <a:prstGeom prst="roundRect">
          <a:avLst/>
        </a:prstGeom>
        <a:solidFill>
          <a:schemeClr val="bg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154215</xdr:colOff>
      <xdr:row>25</xdr:row>
      <xdr:rowOff>63498</xdr:rowOff>
    </xdr:from>
    <xdr:to>
      <xdr:col>6</xdr:col>
      <xdr:colOff>517072</xdr:colOff>
      <xdr:row>25</xdr:row>
      <xdr:rowOff>109217</xdr:rowOff>
    </xdr:to>
    <xdr:sp macro="" textlink="">
      <xdr:nvSpPr>
        <xdr:cNvPr id="5" name="TextBox 4">
          <a:extLst>
            <a:ext uri="{FF2B5EF4-FFF2-40B4-BE49-F238E27FC236}">
              <a16:creationId xmlns:a16="http://schemas.microsoft.com/office/drawing/2014/main" id="{BEC70223-DD88-42E3-A339-556A500E5981}"/>
            </a:ext>
          </a:extLst>
        </xdr:cNvPr>
        <xdr:cNvSpPr txBox="1"/>
      </xdr:nvSpPr>
      <xdr:spPr>
        <a:xfrm flipH="1">
          <a:off x="1496786" y="4372427"/>
          <a:ext cx="30480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46027</xdr:colOff>
      <xdr:row>5</xdr:row>
      <xdr:rowOff>76339</xdr:rowOff>
    </xdr:from>
    <xdr:to>
      <xdr:col>4</xdr:col>
      <xdr:colOff>11081</xdr:colOff>
      <xdr:row>11</xdr:row>
      <xdr:rowOff>43044</xdr:rowOff>
    </xdr:to>
    <xdr:grpSp>
      <xdr:nvGrpSpPr>
        <xdr:cNvPr id="8" name="Group 7">
          <a:extLst>
            <a:ext uri="{FF2B5EF4-FFF2-40B4-BE49-F238E27FC236}">
              <a16:creationId xmlns:a16="http://schemas.microsoft.com/office/drawing/2014/main" id="{CEF595F1-E05D-4D29-9EBF-ED59785C2539}"/>
            </a:ext>
          </a:extLst>
        </xdr:cNvPr>
        <xdr:cNvGrpSpPr/>
      </xdr:nvGrpSpPr>
      <xdr:grpSpPr>
        <a:xfrm>
          <a:off x="46027" y="969308"/>
          <a:ext cx="2632054" cy="1038267"/>
          <a:chOff x="0" y="966191"/>
          <a:chExt cx="2644839" cy="1009980"/>
        </a:xfrm>
      </xdr:grpSpPr>
      <xdr:sp macro="" textlink="">
        <xdr:nvSpPr>
          <xdr:cNvPr id="3" name="Rectangle: Rounded Corners 2">
            <a:extLst>
              <a:ext uri="{FF2B5EF4-FFF2-40B4-BE49-F238E27FC236}">
                <a16:creationId xmlns:a16="http://schemas.microsoft.com/office/drawing/2014/main" id="{424E9200-B538-42D3-BAAE-A1F48D861DFA}"/>
              </a:ext>
            </a:extLst>
          </xdr:cNvPr>
          <xdr:cNvSpPr/>
        </xdr:nvSpPr>
        <xdr:spPr>
          <a:xfrm>
            <a:off x="0" y="966191"/>
            <a:ext cx="2644839" cy="1009980"/>
          </a:xfrm>
          <a:prstGeom prst="roundRect">
            <a:avLst/>
          </a:prstGeom>
          <a:solidFill>
            <a:schemeClr val="bg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D46B0E96-3B90-4E65-8BEE-B521EF2D85A9}"/>
              </a:ext>
            </a:extLst>
          </xdr:cNvPr>
          <xdr:cNvSpPr/>
        </xdr:nvSpPr>
        <xdr:spPr>
          <a:xfrm>
            <a:off x="50918" y="969182"/>
            <a:ext cx="809527" cy="952561"/>
          </a:xfrm>
          <a:prstGeom prst="roundRect">
            <a:avLst/>
          </a:prstGeom>
          <a:solidFill>
            <a:schemeClr val="accen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7AD11DB9-CE9C-4F35-9025-9BD1DF6337C0}"/>
              </a:ext>
            </a:extLst>
          </xdr:cNvPr>
          <xdr:cNvSpPr txBox="1"/>
        </xdr:nvSpPr>
        <xdr:spPr>
          <a:xfrm>
            <a:off x="923946" y="1070489"/>
            <a:ext cx="1566679" cy="309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1"/>
                </a:solidFill>
              </a:rPr>
              <a:t>TOTAL</a:t>
            </a:r>
            <a:r>
              <a:rPr lang="en-IN" sz="2000" baseline="0">
                <a:solidFill>
                  <a:schemeClr val="accent1"/>
                </a:solidFill>
              </a:rPr>
              <a:t> SALES</a:t>
            </a:r>
            <a:endParaRPr lang="en-IN" sz="2000">
              <a:solidFill>
                <a:schemeClr val="accent1"/>
              </a:solidFill>
            </a:endParaRPr>
          </a:p>
        </xdr:txBody>
      </xdr:sp>
      <xdr:sp macro="" textlink="SalesData!K2">
        <xdr:nvSpPr>
          <xdr:cNvPr id="7" name="TextBox 6">
            <a:extLst>
              <a:ext uri="{FF2B5EF4-FFF2-40B4-BE49-F238E27FC236}">
                <a16:creationId xmlns:a16="http://schemas.microsoft.com/office/drawing/2014/main" id="{FACADB0C-F091-4D11-88EE-B7C1A9315C4E}"/>
              </a:ext>
            </a:extLst>
          </xdr:cNvPr>
          <xdr:cNvSpPr txBox="1"/>
        </xdr:nvSpPr>
        <xdr:spPr>
          <a:xfrm>
            <a:off x="1002362" y="1406376"/>
            <a:ext cx="1309209" cy="35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41E27D-6E60-4D07-B1F3-EF441B7A0C5F}" type="TxLink">
              <a:rPr lang="en-US" sz="1400" b="0" i="0" u="none" strike="noStrike">
                <a:solidFill>
                  <a:srgbClr val="000000"/>
                </a:solidFill>
                <a:latin typeface="Aptos Narrow"/>
              </a:rPr>
              <a:pPr algn="ctr"/>
              <a:t> 1,29,44,500.00 </a:t>
            </a:fld>
            <a:endParaRPr lang="en-IN" sz="1400"/>
          </a:p>
        </xdr:txBody>
      </xdr:sp>
    </xdr:grpSp>
    <xdr:clientData/>
  </xdr:twoCellAnchor>
  <xdr:twoCellAnchor>
    <xdr:from>
      <xdr:col>4</xdr:col>
      <xdr:colOff>120369</xdr:colOff>
      <xdr:row>5</xdr:row>
      <xdr:rowOff>76339</xdr:rowOff>
    </xdr:from>
    <xdr:to>
      <xdr:col>8</xdr:col>
      <xdr:colOff>85424</xdr:colOff>
      <xdr:row>11</xdr:row>
      <xdr:rowOff>43044</xdr:rowOff>
    </xdr:to>
    <xdr:grpSp>
      <xdr:nvGrpSpPr>
        <xdr:cNvPr id="9" name="Group 8">
          <a:extLst>
            <a:ext uri="{FF2B5EF4-FFF2-40B4-BE49-F238E27FC236}">
              <a16:creationId xmlns:a16="http://schemas.microsoft.com/office/drawing/2014/main" id="{97136008-597E-4BF2-ACF0-DD086752D669}"/>
            </a:ext>
          </a:extLst>
        </xdr:cNvPr>
        <xdr:cNvGrpSpPr/>
      </xdr:nvGrpSpPr>
      <xdr:grpSpPr>
        <a:xfrm>
          <a:off x="2787369" y="969308"/>
          <a:ext cx="2632055" cy="1038267"/>
          <a:chOff x="0" y="966191"/>
          <a:chExt cx="2644839" cy="1009980"/>
        </a:xfrm>
      </xdr:grpSpPr>
      <xdr:sp macro="" textlink="">
        <xdr:nvSpPr>
          <xdr:cNvPr id="10" name="Rectangle: Rounded Corners 9">
            <a:extLst>
              <a:ext uri="{FF2B5EF4-FFF2-40B4-BE49-F238E27FC236}">
                <a16:creationId xmlns:a16="http://schemas.microsoft.com/office/drawing/2014/main" id="{C2BC7961-36D1-4AE9-8DC2-B602272F5FF1}"/>
              </a:ext>
            </a:extLst>
          </xdr:cNvPr>
          <xdr:cNvSpPr/>
        </xdr:nvSpPr>
        <xdr:spPr>
          <a:xfrm>
            <a:off x="0" y="966191"/>
            <a:ext cx="2644839" cy="1009980"/>
          </a:xfrm>
          <a:prstGeom prst="roundRect">
            <a:avLst/>
          </a:prstGeom>
          <a:solidFill>
            <a:schemeClr val="bg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1" name="Rectangle: Rounded Corners 10">
            <a:extLst>
              <a:ext uri="{FF2B5EF4-FFF2-40B4-BE49-F238E27FC236}">
                <a16:creationId xmlns:a16="http://schemas.microsoft.com/office/drawing/2014/main" id="{2B343BDB-786F-4B12-98D8-BB74D1ACFCCC}"/>
              </a:ext>
            </a:extLst>
          </xdr:cNvPr>
          <xdr:cNvSpPr/>
        </xdr:nvSpPr>
        <xdr:spPr>
          <a:xfrm>
            <a:off x="50918" y="969182"/>
            <a:ext cx="809527" cy="952561"/>
          </a:xfrm>
          <a:prstGeom prst="roundRect">
            <a:avLst/>
          </a:prstGeom>
          <a:solidFill>
            <a:schemeClr val="accen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2" name="TextBox 11">
            <a:extLst>
              <a:ext uri="{FF2B5EF4-FFF2-40B4-BE49-F238E27FC236}">
                <a16:creationId xmlns:a16="http://schemas.microsoft.com/office/drawing/2014/main" id="{688DC3D0-8338-4EA5-BFAC-DE8681E43D26}"/>
              </a:ext>
            </a:extLst>
          </xdr:cNvPr>
          <xdr:cNvSpPr txBox="1"/>
        </xdr:nvSpPr>
        <xdr:spPr>
          <a:xfrm>
            <a:off x="923946" y="1070489"/>
            <a:ext cx="1566679" cy="309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accent1"/>
                </a:solidFill>
              </a:rPr>
              <a:t>AVERAGE SALES</a:t>
            </a:r>
            <a:endParaRPr lang="en-IN" sz="1600">
              <a:solidFill>
                <a:schemeClr val="accent1"/>
              </a:solidFill>
            </a:endParaRPr>
          </a:p>
        </xdr:txBody>
      </xdr:sp>
      <xdr:sp macro="" textlink="SalesData!K8">
        <xdr:nvSpPr>
          <xdr:cNvPr id="13" name="TextBox 12">
            <a:extLst>
              <a:ext uri="{FF2B5EF4-FFF2-40B4-BE49-F238E27FC236}">
                <a16:creationId xmlns:a16="http://schemas.microsoft.com/office/drawing/2014/main" id="{2CC7DB96-1CB0-4A07-8408-362B84E9625F}"/>
              </a:ext>
            </a:extLst>
          </xdr:cNvPr>
          <xdr:cNvSpPr txBox="1"/>
        </xdr:nvSpPr>
        <xdr:spPr>
          <a:xfrm>
            <a:off x="1002362" y="1406376"/>
            <a:ext cx="1309209" cy="35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70BB9E-DAC7-4F83-81BA-63469F7BEAB7}" type="TxLink">
              <a:rPr lang="en-US" sz="1600" b="0" i="0" u="none" strike="noStrike">
                <a:solidFill>
                  <a:srgbClr val="000000"/>
                </a:solidFill>
                <a:latin typeface="Aptos Narrow"/>
              </a:rPr>
              <a:t> 2,58,890.00 </a:t>
            </a:fld>
            <a:endParaRPr lang="en-IN" sz="1600"/>
          </a:p>
        </xdr:txBody>
      </xdr:sp>
    </xdr:grpSp>
    <xdr:clientData/>
  </xdr:twoCellAnchor>
  <xdr:twoCellAnchor>
    <xdr:from>
      <xdr:col>8</xdr:col>
      <xdr:colOff>169931</xdr:colOff>
      <xdr:row>5</xdr:row>
      <xdr:rowOff>76339</xdr:rowOff>
    </xdr:from>
    <xdr:to>
      <xdr:col>12</xdr:col>
      <xdr:colOff>134985</xdr:colOff>
      <xdr:row>11</xdr:row>
      <xdr:rowOff>43044</xdr:rowOff>
    </xdr:to>
    <xdr:grpSp>
      <xdr:nvGrpSpPr>
        <xdr:cNvPr id="14" name="Group 13">
          <a:extLst>
            <a:ext uri="{FF2B5EF4-FFF2-40B4-BE49-F238E27FC236}">
              <a16:creationId xmlns:a16="http://schemas.microsoft.com/office/drawing/2014/main" id="{CC19887D-2D53-44B2-A605-D1C957E3BE08}"/>
            </a:ext>
          </a:extLst>
        </xdr:cNvPr>
        <xdr:cNvGrpSpPr/>
      </xdr:nvGrpSpPr>
      <xdr:grpSpPr>
        <a:xfrm>
          <a:off x="5503931" y="969308"/>
          <a:ext cx="2632054" cy="1038267"/>
          <a:chOff x="0" y="966191"/>
          <a:chExt cx="2644839" cy="1009980"/>
        </a:xfrm>
      </xdr:grpSpPr>
      <xdr:sp macro="" textlink="">
        <xdr:nvSpPr>
          <xdr:cNvPr id="15" name="Rectangle: Rounded Corners 14">
            <a:extLst>
              <a:ext uri="{FF2B5EF4-FFF2-40B4-BE49-F238E27FC236}">
                <a16:creationId xmlns:a16="http://schemas.microsoft.com/office/drawing/2014/main" id="{0F5CF80F-28A8-4D42-BE72-4A601EBEF7BE}"/>
              </a:ext>
            </a:extLst>
          </xdr:cNvPr>
          <xdr:cNvSpPr/>
        </xdr:nvSpPr>
        <xdr:spPr>
          <a:xfrm>
            <a:off x="0" y="966191"/>
            <a:ext cx="2644839" cy="1009980"/>
          </a:xfrm>
          <a:prstGeom prst="roundRect">
            <a:avLst/>
          </a:prstGeom>
          <a:solidFill>
            <a:schemeClr val="bg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D41EF7D8-9DAC-441F-9565-65381B2B0808}"/>
              </a:ext>
            </a:extLst>
          </xdr:cNvPr>
          <xdr:cNvSpPr/>
        </xdr:nvSpPr>
        <xdr:spPr>
          <a:xfrm>
            <a:off x="50918" y="969182"/>
            <a:ext cx="809527" cy="952561"/>
          </a:xfrm>
          <a:prstGeom prst="roundRect">
            <a:avLst/>
          </a:prstGeom>
          <a:solidFill>
            <a:schemeClr val="accen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05474223-83FD-456B-AC03-387783114E3D}"/>
              </a:ext>
            </a:extLst>
          </xdr:cNvPr>
          <xdr:cNvSpPr txBox="1"/>
        </xdr:nvSpPr>
        <xdr:spPr>
          <a:xfrm>
            <a:off x="923946" y="1070489"/>
            <a:ext cx="1566679" cy="309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aseline="0">
                <a:solidFill>
                  <a:schemeClr val="accent1"/>
                </a:solidFill>
              </a:rPr>
              <a:t>UNITS SOLD</a:t>
            </a:r>
            <a:endParaRPr lang="en-IN" sz="2000">
              <a:solidFill>
                <a:schemeClr val="accent1"/>
              </a:solidFill>
            </a:endParaRPr>
          </a:p>
        </xdr:txBody>
      </xdr:sp>
      <xdr:sp macro="" textlink="SalesData!K4">
        <xdr:nvSpPr>
          <xdr:cNvPr id="18" name="TextBox 17">
            <a:extLst>
              <a:ext uri="{FF2B5EF4-FFF2-40B4-BE49-F238E27FC236}">
                <a16:creationId xmlns:a16="http://schemas.microsoft.com/office/drawing/2014/main" id="{9CFD35EC-EBFF-4963-BDA6-B9E80C290994}"/>
              </a:ext>
            </a:extLst>
          </xdr:cNvPr>
          <xdr:cNvSpPr txBox="1"/>
        </xdr:nvSpPr>
        <xdr:spPr>
          <a:xfrm>
            <a:off x="1002362" y="1406376"/>
            <a:ext cx="1309209" cy="35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716005-C91B-4A20-834C-FC269880108F}" type="TxLink">
              <a:rPr lang="en-US" sz="1600" b="0" i="0" u="none" strike="noStrike">
                <a:solidFill>
                  <a:srgbClr val="000000"/>
                </a:solidFill>
                <a:latin typeface="Aptos Narrow"/>
              </a:rPr>
              <a:t> 4,705.00 </a:t>
            </a:fld>
            <a:endParaRPr lang="en-IN" sz="1600"/>
          </a:p>
        </xdr:txBody>
      </xdr:sp>
    </xdr:grpSp>
    <xdr:clientData/>
  </xdr:twoCellAnchor>
  <xdr:twoCellAnchor>
    <xdr:from>
      <xdr:col>12</xdr:col>
      <xdr:colOff>207101</xdr:colOff>
      <xdr:row>5</xdr:row>
      <xdr:rowOff>76339</xdr:rowOff>
    </xdr:from>
    <xdr:to>
      <xdr:col>16</xdr:col>
      <xdr:colOff>172155</xdr:colOff>
      <xdr:row>11</xdr:row>
      <xdr:rowOff>43044</xdr:rowOff>
    </xdr:to>
    <xdr:grpSp>
      <xdr:nvGrpSpPr>
        <xdr:cNvPr id="19" name="Group 18">
          <a:extLst>
            <a:ext uri="{FF2B5EF4-FFF2-40B4-BE49-F238E27FC236}">
              <a16:creationId xmlns:a16="http://schemas.microsoft.com/office/drawing/2014/main" id="{F812DA3D-613F-4190-8FBE-C40AB722A9C8}"/>
            </a:ext>
          </a:extLst>
        </xdr:cNvPr>
        <xdr:cNvGrpSpPr/>
      </xdr:nvGrpSpPr>
      <xdr:grpSpPr>
        <a:xfrm>
          <a:off x="8208101" y="969308"/>
          <a:ext cx="2632054" cy="1038267"/>
          <a:chOff x="0" y="966191"/>
          <a:chExt cx="2644839" cy="1009980"/>
        </a:xfrm>
      </xdr:grpSpPr>
      <xdr:sp macro="" textlink="">
        <xdr:nvSpPr>
          <xdr:cNvPr id="20" name="Rectangle: Rounded Corners 19">
            <a:extLst>
              <a:ext uri="{FF2B5EF4-FFF2-40B4-BE49-F238E27FC236}">
                <a16:creationId xmlns:a16="http://schemas.microsoft.com/office/drawing/2014/main" id="{E16648B8-2BA9-4B7F-9938-1E0B1CBFB0DF}"/>
              </a:ext>
            </a:extLst>
          </xdr:cNvPr>
          <xdr:cNvSpPr/>
        </xdr:nvSpPr>
        <xdr:spPr>
          <a:xfrm>
            <a:off x="0" y="966191"/>
            <a:ext cx="2644839" cy="1009980"/>
          </a:xfrm>
          <a:prstGeom prst="roundRect">
            <a:avLst/>
          </a:prstGeom>
          <a:solidFill>
            <a:schemeClr val="bg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5ACBA0A1-A1E4-432A-AF6A-08A329F411B4}"/>
              </a:ext>
            </a:extLst>
          </xdr:cNvPr>
          <xdr:cNvSpPr/>
        </xdr:nvSpPr>
        <xdr:spPr>
          <a:xfrm>
            <a:off x="50918" y="969182"/>
            <a:ext cx="809527" cy="952561"/>
          </a:xfrm>
          <a:prstGeom prst="roundRect">
            <a:avLst/>
          </a:prstGeom>
          <a:solidFill>
            <a:schemeClr val="accen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27BDF915-2717-4B3E-A0FC-79727454F285}"/>
              </a:ext>
            </a:extLst>
          </xdr:cNvPr>
          <xdr:cNvSpPr txBox="1"/>
        </xdr:nvSpPr>
        <xdr:spPr>
          <a:xfrm>
            <a:off x="923946" y="1070489"/>
            <a:ext cx="1566679" cy="309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aseline="0">
                <a:solidFill>
                  <a:schemeClr val="accent1"/>
                </a:solidFill>
              </a:rPr>
              <a:t>PROFIT</a:t>
            </a:r>
            <a:endParaRPr lang="en-IN" sz="2000">
              <a:solidFill>
                <a:schemeClr val="accent1"/>
              </a:solidFill>
            </a:endParaRPr>
          </a:p>
        </xdr:txBody>
      </xdr:sp>
      <xdr:sp macro="" textlink="SalesData!K6">
        <xdr:nvSpPr>
          <xdr:cNvPr id="23" name="TextBox 22">
            <a:extLst>
              <a:ext uri="{FF2B5EF4-FFF2-40B4-BE49-F238E27FC236}">
                <a16:creationId xmlns:a16="http://schemas.microsoft.com/office/drawing/2014/main" id="{066C0EA3-E90E-45CD-95AB-3DCF8CB934AD}"/>
              </a:ext>
            </a:extLst>
          </xdr:cNvPr>
          <xdr:cNvSpPr txBox="1"/>
        </xdr:nvSpPr>
        <xdr:spPr>
          <a:xfrm>
            <a:off x="1002362" y="1406376"/>
            <a:ext cx="1309209" cy="35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C2896-31FC-4CBE-89AC-A4CDE8031AC4}" type="TxLink">
              <a:rPr lang="en-US" sz="1400" b="0" i="0" u="none" strike="noStrike">
                <a:solidFill>
                  <a:srgbClr val="000000"/>
                </a:solidFill>
                <a:latin typeface="Aptos Narrow"/>
              </a:rPr>
              <a:t> 38,34,400.00 </a:t>
            </a:fld>
            <a:endParaRPr lang="en-IN" sz="1400"/>
          </a:p>
        </xdr:txBody>
      </xdr:sp>
    </xdr:grpSp>
    <xdr:clientData/>
  </xdr:twoCellAnchor>
  <xdr:twoCellAnchor editAs="oneCell">
    <xdr:from>
      <xdr:col>0</xdr:col>
      <xdr:colOff>291981</xdr:colOff>
      <xdr:row>7</xdr:row>
      <xdr:rowOff>35608</xdr:rowOff>
    </xdr:from>
    <xdr:to>
      <xdr:col>0</xdr:col>
      <xdr:colOff>651981</xdr:colOff>
      <xdr:row>9</xdr:row>
      <xdr:rowOff>39534</xdr:rowOff>
    </xdr:to>
    <xdr:pic>
      <xdr:nvPicPr>
        <xdr:cNvPr id="33" name="Graphic 32" descr="Bank">
          <a:extLst>
            <a:ext uri="{FF2B5EF4-FFF2-40B4-BE49-F238E27FC236}">
              <a16:creationId xmlns:a16="http://schemas.microsoft.com/office/drawing/2014/main" id="{BE9F3B9B-E203-453B-803E-023176973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1981" y="1281870"/>
          <a:ext cx="360000" cy="360000"/>
        </a:xfrm>
        <a:prstGeom prst="rect">
          <a:avLst/>
        </a:prstGeom>
      </xdr:spPr>
    </xdr:pic>
    <xdr:clientData/>
  </xdr:twoCellAnchor>
  <xdr:twoCellAnchor editAs="oneCell">
    <xdr:from>
      <xdr:col>4</xdr:col>
      <xdr:colOff>398804</xdr:colOff>
      <xdr:row>7</xdr:row>
      <xdr:rowOff>71215</xdr:rowOff>
    </xdr:from>
    <xdr:to>
      <xdr:col>5</xdr:col>
      <xdr:colOff>89383</xdr:colOff>
      <xdr:row>9</xdr:row>
      <xdr:rowOff>75141</xdr:rowOff>
    </xdr:to>
    <xdr:pic>
      <xdr:nvPicPr>
        <xdr:cNvPr id="35" name="Graphic 34" descr="Rupee">
          <a:extLst>
            <a:ext uri="{FF2B5EF4-FFF2-40B4-BE49-F238E27FC236}">
              <a16:creationId xmlns:a16="http://schemas.microsoft.com/office/drawing/2014/main" id="{CEE70BCC-F248-4095-B999-AC8FC099F7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076486" y="1317477"/>
          <a:ext cx="360000" cy="360000"/>
        </a:xfrm>
        <a:prstGeom prst="rect">
          <a:avLst/>
        </a:prstGeom>
      </xdr:spPr>
    </xdr:pic>
    <xdr:clientData/>
  </xdr:twoCellAnchor>
  <xdr:twoCellAnchor editAs="oneCell">
    <xdr:from>
      <xdr:col>12</xdr:col>
      <xdr:colOff>470018</xdr:colOff>
      <xdr:row>6</xdr:row>
      <xdr:rowOff>163795</xdr:rowOff>
    </xdr:from>
    <xdr:to>
      <xdr:col>13</xdr:col>
      <xdr:colOff>160598</xdr:colOff>
      <xdr:row>8</xdr:row>
      <xdr:rowOff>167720</xdr:rowOff>
    </xdr:to>
    <xdr:pic>
      <xdr:nvPicPr>
        <xdr:cNvPr id="37" name="Graphic 36" descr="Upward trend">
          <a:extLst>
            <a:ext uri="{FF2B5EF4-FFF2-40B4-BE49-F238E27FC236}">
              <a16:creationId xmlns:a16="http://schemas.microsoft.com/office/drawing/2014/main" id="{5AEE4D31-E478-43BF-8231-6849DE5BCC6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03065" y="1232019"/>
          <a:ext cx="360000" cy="360000"/>
        </a:xfrm>
        <a:prstGeom prst="rect">
          <a:avLst/>
        </a:prstGeom>
      </xdr:spPr>
    </xdr:pic>
    <xdr:clientData/>
  </xdr:twoCellAnchor>
  <xdr:twoCellAnchor editAs="oneCell">
    <xdr:from>
      <xdr:col>8</xdr:col>
      <xdr:colOff>455776</xdr:colOff>
      <xdr:row>7</xdr:row>
      <xdr:rowOff>21364</xdr:rowOff>
    </xdr:from>
    <xdr:to>
      <xdr:col>9</xdr:col>
      <xdr:colOff>146355</xdr:colOff>
      <xdr:row>9</xdr:row>
      <xdr:rowOff>25290</xdr:rowOff>
    </xdr:to>
    <xdr:pic>
      <xdr:nvPicPr>
        <xdr:cNvPr id="39" name="Graphic 38" descr="Coins">
          <a:extLst>
            <a:ext uri="{FF2B5EF4-FFF2-40B4-BE49-F238E27FC236}">
              <a16:creationId xmlns:a16="http://schemas.microsoft.com/office/drawing/2014/main" id="{2C4CF4E3-1D8D-4D7A-9EA7-98A7208C003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811140" y="1267626"/>
          <a:ext cx="360000" cy="360000"/>
        </a:xfrm>
        <a:prstGeom prst="rect">
          <a:avLst/>
        </a:prstGeom>
      </xdr:spPr>
    </xdr:pic>
    <xdr:clientData/>
  </xdr:twoCellAnchor>
  <xdr:twoCellAnchor editAs="oneCell">
    <xdr:from>
      <xdr:col>5</xdr:col>
      <xdr:colOff>199401</xdr:colOff>
      <xdr:row>0</xdr:row>
      <xdr:rowOff>1</xdr:rowOff>
    </xdr:from>
    <xdr:to>
      <xdr:col>6</xdr:col>
      <xdr:colOff>249981</xdr:colOff>
      <xdr:row>4</xdr:row>
      <xdr:rowOff>7851</xdr:rowOff>
    </xdr:to>
    <xdr:pic>
      <xdr:nvPicPr>
        <xdr:cNvPr id="41" name="Graphic 40" descr="Meeting">
          <a:extLst>
            <a:ext uri="{FF2B5EF4-FFF2-40B4-BE49-F238E27FC236}">
              <a16:creationId xmlns:a16="http://schemas.microsoft.com/office/drawing/2014/main" id="{07D67F52-6DBC-47B9-B527-DFA5CDF1DA6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546504" y="1"/>
          <a:ext cx="720000" cy="720000"/>
        </a:xfrm>
        <a:prstGeom prst="rect">
          <a:avLst/>
        </a:prstGeom>
      </xdr:spPr>
    </xdr:pic>
    <xdr:clientData/>
  </xdr:twoCellAnchor>
  <xdr:twoCellAnchor>
    <xdr:from>
      <xdr:col>6</xdr:col>
      <xdr:colOff>291982</xdr:colOff>
      <xdr:row>1</xdr:row>
      <xdr:rowOff>1</xdr:rowOff>
    </xdr:from>
    <xdr:to>
      <xdr:col>12</xdr:col>
      <xdr:colOff>448654</xdr:colOff>
      <xdr:row>3</xdr:row>
      <xdr:rowOff>92580</xdr:rowOff>
    </xdr:to>
    <xdr:sp macro="" textlink="">
      <xdr:nvSpPr>
        <xdr:cNvPr id="42" name="TextBox 41">
          <a:extLst>
            <a:ext uri="{FF2B5EF4-FFF2-40B4-BE49-F238E27FC236}">
              <a16:creationId xmlns:a16="http://schemas.microsoft.com/office/drawing/2014/main" id="{0DEE4AA7-D816-4EA9-9A03-1142DF46E0A6}"/>
            </a:ext>
          </a:extLst>
        </xdr:cNvPr>
        <xdr:cNvSpPr txBox="1"/>
      </xdr:nvSpPr>
      <xdr:spPr>
        <a:xfrm>
          <a:off x="4308505" y="178038"/>
          <a:ext cx="4173196" cy="4486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Times New Roman" panose="02020603050405020304" pitchFamily="18" charset="0"/>
              <a:cs typeface="Times New Roman" panose="02020603050405020304" pitchFamily="18" charset="0"/>
            </a:rPr>
            <a:t>SALES DASHBOARD-2025</a:t>
          </a:r>
        </a:p>
      </xdr:txBody>
    </xdr:sp>
    <xdr:clientData/>
  </xdr:twoCellAnchor>
  <xdr:twoCellAnchor editAs="oneCell">
    <xdr:from>
      <xdr:col>16</xdr:col>
      <xdr:colOff>273143</xdr:colOff>
      <xdr:row>5</xdr:row>
      <xdr:rowOff>52787</xdr:rowOff>
    </xdr:from>
    <xdr:to>
      <xdr:col>20</xdr:col>
      <xdr:colOff>0</xdr:colOff>
      <xdr:row>11</xdr:row>
      <xdr:rowOff>9071</xdr:rowOff>
    </xdr:to>
    <mc:AlternateContent xmlns:mc="http://schemas.openxmlformats.org/markup-compatibility/2006">
      <mc:Choice xmlns:a14="http://schemas.microsoft.com/office/drawing/2010/main" Requires="a14">
        <xdr:graphicFrame macro="">
          <xdr:nvGraphicFramePr>
            <xdr:cNvPr id="44" name="Region 1">
              <a:extLst>
                <a:ext uri="{FF2B5EF4-FFF2-40B4-BE49-F238E27FC236}">
                  <a16:creationId xmlns:a16="http://schemas.microsoft.com/office/drawing/2014/main" id="{74D4287D-1228-4408-8AE8-5695F05F32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41143" y="945756"/>
              <a:ext cx="2393857" cy="1027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105227</xdr:colOff>
      <xdr:row>11</xdr:row>
      <xdr:rowOff>109311</xdr:rowOff>
    </xdr:from>
    <xdr:to>
      <xdr:col>4</xdr:col>
      <xdr:colOff>0</xdr:colOff>
      <xdr:row>29</xdr:row>
      <xdr:rowOff>0</xdr:rowOff>
    </xdr:to>
    <mc:AlternateContent xmlns:mc="http://schemas.openxmlformats.org/markup-compatibility/2006">
      <mc:Choice xmlns:a14="http://schemas.microsoft.com/office/drawing/2010/main" Requires="a14">
        <xdr:graphicFrame macro="">
          <xdr:nvGraphicFramePr>
            <xdr:cNvPr id="45" name="Sales Person 1">
              <a:extLst>
                <a:ext uri="{FF2B5EF4-FFF2-40B4-BE49-F238E27FC236}">
                  <a16:creationId xmlns:a16="http://schemas.microsoft.com/office/drawing/2014/main" id="{9B19638D-FCBC-4282-A3C6-6D07E646DD51}"/>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105227" y="2073842"/>
              <a:ext cx="2561773" cy="3105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29</xdr:row>
      <xdr:rowOff>118382</xdr:rowOff>
    </xdr:from>
    <xdr:to>
      <xdr:col>4</xdr:col>
      <xdr:colOff>0</xdr:colOff>
      <xdr:row>47</xdr:row>
      <xdr:rowOff>0</xdr:rowOff>
    </xdr:to>
    <mc:AlternateContent xmlns:mc="http://schemas.openxmlformats.org/markup-compatibility/2006">
      <mc:Choice xmlns:a14="http://schemas.microsoft.com/office/drawing/2010/main" Requires="a14">
        <xdr:graphicFrame macro="">
          <xdr:nvGraphicFramePr>
            <xdr:cNvPr id="46" name="Product 1">
              <a:extLst>
                <a:ext uri="{FF2B5EF4-FFF2-40B4-BE49-F238E27FC236}">
                  <a16:creationId xmlns:a16="http://schemas.microsoft.com/office/drawing/2014/main" id="{B633054C-D7B8-4D37-AA6D-55FCC3BA858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4299" y="5297601"/>
              <a:ext cx="2552701" cy="3096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11</xdr:row>
      <xdr:rowOff>107156</xdr:rowOff>
    </xdr:from>
    <xdr:to>
      <xdr:col>11</xdr:col>
      <xdr:colOff>585108</xdr:colOff>
      <xdr:row>29</xdr:row>
      <xdr:rowOff>158750</xdr:rowOff>
    </xdr:to>
    <xdr:grpSp>
      <xdr:nvGrpSpPr>
        <xdr:cNvPr id="61" name="Group 60">
          <a:extLst>
            <a:ext uri="{FF2B5EF4-FFF2-40B4-BE49-F238E27FC236}">
              <a16:creationId xmlns:a16="http://schemas.microsoft.com/office/drawing/2014/main" id="{0F4A3AD5-8891-4513-BFED-4E10133592BE}"/>
            </a:ext>
          </a:extLst>
        </xdr:cNvPr>
        <xdr:cNvGrpSpPr/>
      </xdr:nvGrpSpPr>
      <xdr:grpSpPr>
        <a:xfrm>
          <a:off x="3333750" y="2071687"/>
          <a:ext cx="4585608" cy="3266282"/>
          <a:chOff x="3333750" y="2071687"/>
          <a:chExt cx="4585608" cy="3266282"/>
        </a:xfrm>
      </xdr:grpSpPr>
      <xdr:sp macro="" textlink="">
        <xdr:nvSpPr>
          <xdr:cNvPr id="48" name="Rectangle: Rounded Corners 47">
            <a:extLst>
              <a:ext uri="{FF2B5EF4-FFF2-40B4-BE49-F238E27FC236}">
                <a16:creationId xmlns:a16="http://schemas.microsoft.com/office/drawing/2014/main" id="{4539A910-7399-4C0C-A52A-FD2D749BD438}"/>
              </a:ext>
            </a:extLst>
          </xdr:cNvPr>
          <xdr:cNvSpPr/>
        </xdr:nvSpPr>
        <xdr:spPr>
          <a:xfrm>
            <a:off x="3333750" y="2071687"/>
            <a:ext cx="4585608" cy="3266282"/>
          </a:xfrm>
          <a:prstGeom prst="roundRect">
            <a:avLst/>
          </a:prstGeom>
          <a:solidFill>
            <a:schemeClr val="l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6FD0D13C-DFF6-4B81-B5D4-1CFD0826972D}"/>
              </a:ext>
            </a:extLst>
          </xdr:cNvPr>
          <xdr:cNvSpPr txBox="1"/>
        </xdr:nvSpPr>
        <xdr:spPr>
          <a:xfrm>
            <a:off x="3964781" y="2190750"/>
            <a:ext cx="266700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latin typeface="Times New Roman" panose="02020603050405020304" pitchFamily="18" charset="0"/>
                <a:cs typeface="Times New Roman" panose="02020603050405020304" pitchFamily="18" charset="0"/>
              </a:rPr>
              <a:t>UNIT SOLD BY PRODUCT</a:t>
            </a:r>
          </a:p>
        </xdr:txBody>
      </xdr:sp>
      <xdr:graphicFrame macro="">
        <xdr:nvGraphicFramePr>
          <xdr:cNvPr id="50" name="Chart 49">
            <a:extLst>
              <a:ext uri="{FF2B5EF4-FFF2-40B4-BE49-F238E27FC236}">
                <a16:creationId xmlns:a16="http://schemas.microsoft.com/office/drawing/2014/main" id="{E02C9B5F-2FE2-4927-8D9A-1EFE01B1F9BA}"/>
              </a:ext>
            </a:extLst>
          </xdr:cNvPr>
          <xdr:cNvGraphicFramePr>
            <a:graphicFrameLocks/>
          </xdr:cNvGraphicFramePr>
        </xdr:nvGraphicFramePr>
        <xdr:xfrm>
          <a:off x="3333750" y="2392591"/>
          <a:ext cx="4540250" cy="289378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4</xdr:col>
      <xdr:colOff>631031</xdr:colOff>
      <xdr:row>30</xdr:row>
      <xdr:rowOff>60665</xdr:rowOff>
    </xdr:from>
    <xdr:to>
      <xdr:col>12</xdr:col>
      <xdr:colOff>631031</xdr:colOff>
      <xdr:row>50</xdr:row>
      <xdr:rowOff>0</xdr:rowOff>
    </xdr:to>
    <xdr:sp macro="" textlink="">
      <xdr:nvSpPr>
        <xdr:cNvPr id="53" name="Rectangle: Rounded Corners 52">
          <a:extLst>
            <a:ext uri="{FF2B5EF4-FFF2-40B4-BE49-F238E27FC236}">
              <a16:creationId xmlns:a16="http://schemas.microsoft.com/office/drawing/2014/main" id="{E8C2D479-24F1-428B-BF7C-2155EF7075D8}"/>
            </a:ext>
          </a:extLst>
        </xdr:cNvPr>
        <xdr:cNvSpPr/>
      </xdr:nvSpPr>
      <xdr:spPr>
        <a:xfrm>
          <a:off x="3298031" y="5418478"/>
          <a:ext cx="5334000" cy="3511210"/>
        </a:xfrm>
        <a:prstGeom prst="roundRect">
          <a:avLst/>
        </a:prstGeom>
        <a:solidFill>
          <a:schemeClr val="l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30</xdr:row>
      <xdr:rowOff>83343</xdr:rowOff>
    </xdr:from>
    <xdr:to>
      <xdr:col>21</xdr:col>
      <xdr:colOff>548268</xdr:colOff>
      <xdr:row>49</xdr:row>
      <xdr:rowOff>52324</xdr:rowOff>
    </xdr:to>
    <xdr:sp macro="" textlink="">
      <xdr:nvSpPr>
        <xdr:cNvPr id="54" name="Rectangle: Rounded Corners 53">
          <a:extLst>
            <a:ext uri="{FF2B5EF4-FFF2-40B4-BE49-F238E27FC236}">
              <a16:creationId xmlns:a16="http://schemas.microsoft.com/office/drawing/2014/main" id="{2237B152-0AF3-41CB-B99B-1EB434E70304}"/>
            </a:ext>
          </a:extLst>
        </xdr:cNvPr>
        <xdr:cNvSpPr/>
      </xdr:nvSpPr>
      <xdr:spPr>
        <a:xfrm>
          <a:off x="8667750" y="5441156"/>
          <a:ext cx="5882268" cy="3362262"/>
        </a:xfrm>
        <a:prstGeom prst="roundRect">
          <a:avLst/>
        </a:prstGeom>
        <a:solidFill>
          <a:schemeClr val="l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476250</xdr:colOff>
      <xdr:row>11</xdr:row>
      <xdr:rowOff>127001</xdr:rowOff>
    </xdr:from>
    <xdr:to>
      <xdr:col>19</xdr:col>
      <xdr:colOff>476250</xdr:colOff>
      <xdr:row>29</xdr:row>
      <xdr:rowOff>0</xdr:rowOff>
    </xdr:to>
    <xdr:grpSp>
      <xdr:nvGrpSpPr>
        <xdr:cNvPr id="60" name="Group 59">
          <a:extLst>
            <a:ext uri="{FF2B5EF4-FFF2-40B4-BE49-F238E27FC236}">
              <a16:creationId xmlns:a16="http://schemas.microsoft.com/office/drawing/2014/main" id="{BBACBF7A-CC09-4E9A-8EB1-39A4EECA62B2}"/>
            </a:ext>
          </a:extLst>
        </xdr:cNvPr>
        <xdr:cNvGrpSpPr/>
      </xdr:nvGrpSpPr>
      <xdr:grpSpPr>
        <a:xfrm>
          <a:off x="8477250" y="2091532"/>
          <a:ext cx="4667250" cy="3087687"/>
          <a:chOff x="8477250" y="2091532"/>
          <a:chExt cx="4667250" cy="3087687"/>
        </a:xfrm>
      </xdr:grpSpPr>
      <xdr:sp macro="" textlink="">
        <xdr:nvSpPr>
          <xdr:cNvPr id="51" name="Rectangle: Rounded Corners 50">
            <a:extLst>
              <a:ext uri="{FF2B5EF4-FFF2-40B4-BE49-F238E27FC236}">
                <a16:creationId xmlns:a16="http://schemas.microsoft.com/office/drawing/2014/main" id="{EA217A17-FEEA-40FE-8DBC-21B5D7C93F34}"/>
              </a:ext>
            </a:extLst>
          </xdr:cNvPr>
          <xdr:cNvSpPr/>
        </xdr:nvSpPr>
        <xdr:spPr>
          <a:xfrm>
            <a:off x="8477250" y="2091532"/>
            <a:ext cx="4667250" cy="3087687"/>
          </a:xfrm>
          <a:prstGeom prst="roundRect">
            <a:avLst/>
          </a:prstGeom>
          <a:solidFill>
            <a:schemeClr val="lt1"/>
          </a:solidFill>
          <a:ln>
            <a:noFill/>
          </a:ln>
          <a:effectLst>
            <a:outerShdw blurRad="50800" dist="38100" dir="13500000" algn="b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5A57E550-3045-4184-B908-6B6E238A0EEB}"/>
              </a:ext>
            </a:extLst>
          </xdr:cNvPr>
          <xdr:cNvSpPr txBox="1"/>
        </xdr:nvSpPr>
        <xdr:spPr>
          <a:xfrm>
            <a:off x="9084469" y="2143125"/>
            <a:ext cx="2666999"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latin typeface="Times New Roman" panose="02020603050405020304" pitchFamily="18" charset="0"/>
                <a:cs typeface="Times New Roman" panose="02020603050405020304" pitchFamily="18" charset="0"/>
              </a:rPr>
              <a:t>TOTAL SALES BY REGION</a:t>
            </a:r>
          </a:p>
        </xdr:txBody>
      </xdr:sp>
      <xdr:graphicFrame macro="">
        <xdr:nvGraphicFramePr>
          <xdr:cNvPr id="55" name="Chart 54">
            <a:extLst>
              <a:ext uri="{FF2B5EF4-FFF2-40B4-BE49-F238E27FC236}">
                <a16:creationId xmlns:a16="http://schemas.microsoft.com/office/drawing/2014/main" id="{AE0CC0FF-B2D2-4B59-9664-DC2E3FFD9A85}"/>
              </a:ext>
            </a:extLst>
          </xdr:cNvPr>
          <xdr:cNvGraphicFramePr>
            <a:graphicFrameLocks/>
          </xdr:cNvGraphicFramePr>
        </xdr:nvGraphicFramePr>
        <xdr:xfrm>
          <a:off x="8572500" y="2274094"/>
          <a:ext cx="4544786" cy="2842986"/>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5</xdr:col>
      <xdr:colOff>535781</xdr:colOff>
      <xdr:row>31</xdr:row>
      <xdr:rowOff>23812</xdr:rowOff>
    </xdr:from>
    <xdr:to>
      <xdr:col>9</xdr:col>
      <xdr:colOff>535781</xdr:colOff>
      <xdr:row>33</xdr:row>
      <xdr:rowOff>23812</xdr:rowOff>
    </xdr:to>
    <xdr:sp macro="" textlink="">
      <xdr:nvSpPr>
        <xdr:cNvPr id="56" name="TextBox 55">
          <a:extLst>
            <a:ext uri="{FF2B5EF4-FFF2-40B4-BE49-F238E27FC236}">
              <a16:creationId xmlns:a16="http://schemas.microsoft.com/office/drawing/2014/main" id="{79E9CD7C-5208-4EB8-96A7-A1C7E61E6309}"/>
            </a:ext>
          </a:extLst>
        </xdr:cNvPr>
        <xdr:cNvSpPr txBox="1"/>
      </xdr:nvSpPr>
      <xdr:spPr>
        <a:xfrm>
          <a:off x="3869531" y="5560218"/>
          <a:ext cx="266700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latin typeface="Times New Roman" panose="02020603050405020304" pitchFamily="18" charset="0"/>
              <a:cs typeface="Times New Roman" panose="02020603050405020304" pitchFamily="18" charset="0"/>
            </a:rPr>
            <a:t>TOTAL</a:t>
          </a:r>
          <a:r>
            <a:rPr lang="en-IN" sz="1400" b="1" baseline="0">
              <a:solidFill>
                <a:schemeClr val="accent1"/>
              </a:solidFill>
              <a:latin typeface="Times New Roman" panose="02020603050405020304" pitchFamily="18" charset="0"/>
              <a:cs typeface="Times New Roman" panose="02020603050405020304" pitchFamily="18" charset="0"/>
            </a:rPr>
            <a:t> SALES BY PRODUCT</a:t>
          </a:r>
          <a:endParaRPr lang="en-IN" sz="14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428625</xdr:colOff>
      <xdr:row>31</xdr:row>
      <xdr:rowOff>0</xdr:rowOff>
    </xdr:from>
    <xdr:to>
      <xdr:col>18</xdr:col>
      <xdr:colOff>428625</xdr:colOff>
      <xdr:row>33</xdr:row>
      <xdr:rowOff>0</xdr:rowOff>
    </xdr:to>
    <xdr:sp macro="" textlink="">
      <xdr:nvSpPr>
        <xdr:cNvPr id="57" name="TextBox 56">
          <a:extLst>
            <a:ext uri="{FF2B5EF4-FFF2-40B4-BE49-F238E27FC236}">
              <a16:creationId xmlns:a16="http://schemas.microsoft.com/office/drawing/2014/main" id="{2DA0EE7C-5393-4CC2-86A7-0F43A756F220}"/>
            </a:ext>
          </a:extLst>
        </xdr:cNvPr>
        <xdr:cNvSpPr txBox="1"/>
      </xdr:nvSpPr>
      <xdr:spPr>
        <a:xfrm>
          <a:off x="9096375" y="5536406"/>
          <a:ext cx="333375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latin typeface="Times New Roman" panose="02020603050405020304" pitchFamily="18" charset="0"/>
              <a:cs typeface="Times New Roman" panose="02020603050405020304" pitchFamily="18" charset="0"/>
            </a:rPr>
            <a:t>TOTAL SALES BY SALES</a:t>
          </a:r>
          <a:r>
            <a:rPr lang="en-IN" sz="1400" b="1" baseline="0">
              <a:solidFill>
                <a:schemeClr val="accent1"/>
              </a:solidFill>
              <a:latin typeface="Times New Roman" panose="02020603050405020304" pitchFamily="18" charset="0"/>
              <a:cs typeface="Times New Roman" panose="02020603050405020304" pitchFamily="18" charset="0"/>
            </a:rPr>
            <a:t> PERSON</a:t>
          </a:r>
          <a:endParaRPr lang="en-IN" sz="14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91281</xdr:colOff>
      <xdr:row>33</xdr:row>
      <xdr:rowOff>71438</xdr:rowOff>
    </xdr:from>
    <xdr:to>
      <xdr:col>11</xdr:col>
      <xdr:colOff>631031</xdr:colOff>
      <xdr:row>49</xdr:row>
      <xdr:rowOff>56924</xdr:rowOff>
    </xdr:to>
    <xdr:graphicFrame macro="">
      <xdr:nvGraphicFramePr>
        <xdr:cNvPr id="58" name="Chart 57">
          <a:extLst>
            <a:ext uri="{FF2B5EF4-FFF2-40B4-BE49-F238E27FC236}">
              <a16:creationId xmlns:a16="http://schemas.microsoft.com/office/drawing/2014/main" id="{77427B39-5BCA-4161-A2FE-E10ED25C3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0</xdr:colOff>
      <xdr:row>33</xdr:row>
      <xdr:rowOff>0</xdr:rowOff>
    </xdr:from>
    <xdr:to>
      <xdr:col>21</xdr:col>
      <xdr:colOff>285750</xdr:colOff>
      <xdr:row>47</xdr:row>
      <xdr:rowOff>0</xdr:rowOff>
    </xdr:to>
    <xdr:graphicFrame macro="">
      <xdr:nvGraphicFramePr>
        <xdr:cNvPr id="59" name="Chart 58">
          <a:extLst>
            <a:ext uri="{FF2B5EF4-FFF2-40B4-BE49-F238E27FC236}">
              <a16:creationId xmlns:a16="http://schemas.microsoft.com/office/drawing/2014/main" id="{9197AE24-84D0-4958-B5A3-E78DBC336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73867</xdr:colOff>
      <xdr:row>12</xdr:row>
      <xdr:rowOff>74645</xdr:rowOff>
    </xdr:from>
    <xdr:to>
      <xdr:col>4</xdr:col>
      <xdr:colOff>369336</xdr:colOff>
      <xdr:row>27</xdr:row>
      <xdr:rowOff>135294</xdr:rowOff>
    </xdr:to>
    <xdr:graphicFrame macro="">
      <xdr:nvGraphicFramePr>
        <xdr:cNvPr id="2" name="Chart 1">
          <a:extLst>
            <a:ext uri="{FF2B5EF4-FFF2-40B4-BE49-F238E27FC236}">
              <a16:creationId xmlns:a16="http://schemas.microsoft.com/office/drawing/2014/main" id="{DEE3B8CA-A09B-410B-96BA-50A97744E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517070</xdr:colOff>
      <xdr:row>14</xdr:row>
      <xdr:rowOff>90196</xdr:rowOff>
    </xdr:from>
    <xdr:to>
      <xdr:col>7</xdr:col>
      <xdr:colOff>929172</xdr:colOff>
      <xdr:row>29</xdr:row>
      <xdr:rowOff>150845</xdr:rowOff>
    </xdr:to>
    <xdr:graphicFrame macro="">
      <xdr:nvGraphicFramePr>
        <xdr:cNvPr id="3" name="Chart 2">
          <a:extLst>
            <a:ext uri="{FF2B5EF4-FFF2-40B4-BE49-F238E27FC236}">
              <a16:creationId xmlns:a16="http://schemas.microsoft.com/office/drawing/2014/main" id="{86BDC96C-E593-4E94-B993-AA261A1A1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1216867</xdr:colOff>
      <xdr:row>15</xdr:row>
      <xdr:rowOff>35768</xdr:rowOff>
    </xdr:from>
    <xdr:to>
      <xdr:col>12</xdr:col>
      <xdr:colOff>571500</xdr:colOff>
      <xdr:row>30</xdr:row>
      <xdr:rowOff>96417</xdr:rowOff>
    </xdr:to>
    <xdr:graphicFrame macro="">
      <xdr:nvGraphicFramePr>
        <xdr:cNvPr id="4" name="Chart 3">
          <a:extLst>
            <a:ext uri="{FF2B5EF4-FFF2-40B4-BE49-F238E27FC236}">
              <a16:creationId xmlns:a16="http://schemas.microsoft.com/office/drawing/2014/main" id="{7B759FD6-ED63-41AB-99BB-CB6F27EF3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536509</xdr:colOff>
      <xdr:row>0</xdr:row>
      <xdr:rowOff>132183</xdr:rowOff>
    </xdr:from>
    <xdr:to>
      <xdr:col>17</xdr:col>
      <xdr:colOff>408214</xdr:colOff>
      <xdr:row>13</xdr:row>
      <xdr:rowOff>111967</xdr:rowOff>
    </xdr:to>
    <xdr:graphicFrame macro="">
      <xdr:nvGraphicFramePr>
        <xdr:cNvPr id="5" name="Chart 4">
          <a:extLst>
            <a:ext uri="{FF2B5EF4-FFF2-40B4-BE49-F238E27FC236}">
              <a16:creationId xmlns:a16="http://schemas.microsoft.com/office/drawing/2014/main" id="{DA4850FF-BA38-490D-B7B1-E8FA75DE1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252704</xdr:colOff>
      <xdr:row>14</xdr:row>
      <xdr:rowOff>129074</xdr:rowOff>
    </xdr:from>
    <xdr:to>
      <xdr:col>20</xdr:col>
      <xdr:colOff>143847</xdr:colOff>
      <xdr:row>30</xdr:row>
      <xdr:rowOff>10886</xdr:rowOff>
    </xdr:to>
    <xdr:graphicFrame macro="">
      <xdr:nvGraphicFramePr>
        <xdr:cNvPr id="6" name="Chart 5">
          <a:extLst>
            <a:ext uri="{FF2B5EF4-FFF2-40B4-BE49-F238E27FC236}">
              <a16:creationId xmlns:a16="http://schemas.microsoft.com/office/drawing/2014/main" id="{BB8FEF06-F77D-406F-9142-390FEF078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186613</xdr:colOff>
      <xdr:row>0</xdr:row>
      <xdr:rowOff>0</xdr:rowOff>
    </xdr:from>
    <xdr:to>
      <xdr:col>5</xdr:col>
      <xdr:colOff>444760</xdr:colOff>
      <xdr:row>13</xdr:row>
      <xdr:rowOff>142097</xdr:rowOff>
    </xdr:to>
    <mc:AlternateContent xmlns:mc="http://schemas.openxmlformats.org/markup-compatibility/2006">
      <mc:Choice xmlns:a14="http://schemas.microsoft.com/office/drawing/2010/main" Requires="a14">
        <xdr:graphicFrame macro="">
          <xdr:nvGraphicFramePr>
            <xdr:cNvPr id="7" name="Sales Person">
              <a:extLst>
                <a:ext uri="{FF2B5EF4-FFF2-40B4-BE49-F238E27FC236}">
                  <a16:creationId xmlns:a16="http://schemas.microsoft.com/office/drawing/2014/main" id="{F8AD37C6-A598-4908-BBB9-E4D8D387480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4463144"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629816</xdr:colOff>
      <xdr:row>5</xdr:row>
      <xdr:rowOff>147734</xdr:rowOff>
    </xdr:from>
    <xdr:to>
      <xdr:col>2</xdr:col>
      <xdr:colOff>452571</xdr:colOff>
      <xdr:row>9</xdr:row>
      <xdr:rowOff>152387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7054F90-A8F3-4091-B44C-341F8A30A3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9816" y="1041918"/>
              <a:ext cx="2412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760445</xdr:colOff>
      <xdr:row>0</xdr:row>
      <xdr:rowOff>60844</xdr:rowOff>
    </xdr:from>
    <xdr:to>
      <xdr:col>7</xdr:col>
      <xdr:colOff>0</xdr:colOff>
      <xdr:row>14</xdr:row>
      <xdr:rowOff>24105</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6E7C464D-FE02-449C-94ED-18EA25680F5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607629" y="6084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ARI.PRIYA" refreshedDate="46017.509465393516" createdVersion="6" refreshedVersion="6" minRefreshableVersion="3" recordCount="50" xr:uid="{E19ACABF-6DEA-4934-A277-51577F052FC7}">
  <cacheSource type="worksheet">
    <worksheetSource name="Table2"/>
  </cacheSource>
  <cacheFields count="10">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 name="sales in Lakhs" numFmtId="0" formula="'Total Sales' /100000" databaseField="0"/>
  </cacheFields>
  <extLst>
    <ext xmlns:x14="http://schemas.microsoft.com/office/spreadsheetml/2009/9/main" uri="{725AE2AE-9491-48be-B2B4-4EB974FC3084}">
      <x14:pivotCacheDefinition pivotCacheId="2026594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0C09B-3507-4B96-B461-4BFE067C2E2D}" name="PivotTable8"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K3:L11" firstHeaderRow="1" firstDataRow="1" firstDataCol="1"/>
  <pivotFields count="10">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 dragToRow="0" dragToCol="0" dragToPage="0" showAll="0" defaultSubtota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19"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B0F83-3051-405A-B835-004ECE045249}" name="PivotTable7"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G3:H14" firstHeaderRow="1" firstDataRow="1" firstDataCol="1"/>
  <pivotFields count="10">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numFmtId="164" showAll="0"/>
    <pivotField numFmtId="164" showAll="0"/>
    <pivotField dataField="1" dragToRow="0" dragToCol="0" dragToPage="0" showAll="0" defaultSubtotal="0"/>
  </pivotFields>
  <rowFields count="1">
    <field x="1"/>
  </rowFields>
  <rowItems count="11">
    <i>
      <x/>
    </i>
    <i>
      <x v="1"/>
    </i>
    <i>
      <x v="2"/>
    </i>
    <i>
      <x v="3"/>
    </i>
    <i>
      <x v="4"/>
    </i>
    <i>
      <x v="5"/>
    </i>
    <i>
      <x v="6"/>
    </i>
    <i>
      <x v="7"/>
    </i>
    <i>
      <x v="8"/>
    </i>
    <i>
      <x v="9"/>
    </i>
    <i t="grand">
      <x/>
    </i>
  </rowItems>
  <colItems count="1">
    <i/>
  </colItems>
  <dataFields count="1">
    <dataField name="Sum of sales in Lakhs" fld="9" baseField="1" baseItem="4" numFmtId="165"/>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5D767-4FDE-4D86-AE36-9B318BB6C6B9}" name="PivotTable6"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3:E11" firstHeaderRow="1" firstDataRow="1" firstDataCol="1"/>
  <pivotFields count="10">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numFmtId="164" showAll="0"/>
    <pivotField numFmtId="164" showAll="0"/>
    <pivotField dataField="1" dragToRow="0" dragToCol="0" dragToPage="0" showAll="0" defaultSubtotal="0"/>
  </pivotFields>
  <rowFields count="1">
    <field x="3"/>
  </rowFields>
  <rowItems count="8">
    <i>
      <x/>
    </i>
    <i>
      <x v="1"/>
    </i>
    <i>
      <x v="2"/>
    </i>
    <i>
      <x v="3"/>
    </i>
    <i>
      <x v="4"/>
    </i>
    <i>
      <x v="5"/>
    </i>
    <i>
      <x v="6"/>
    </i>
    <i t="grand">
      <x/>
    </i>
  </rowItems>
  <colItems count="1">
    <i/>
  </colItems>
  <dataFields count="1">
    <dataField name="Sum of sales in Lakhs" fld="9" baseField="3" baseItem="2" numFmtId="165"/>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496AF9-0BC4-42D7-B69C-D4AC86B70660}" name="PivotTable5"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0">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numFmtId="164" showAll="0"/>
    <pivotField numFmtId="164" showAll="0"/>
    <pivotField dataField="1" dragToRow="0" dragToCol="0" dragToPage="0" showAll="0" defaultSubtotal="0"/>
  </pivotFields>
  <rowFields count="1">
    <field x="2"/>
  </rowFields>
  <rowItems count="5">
    <i>
      <x/>
    </i>
    <i>
      <x v="1"/>
    </i>
    <i>
      <x v="2"/>
    </i>
    <i>
      <x v="3"/>
    </i>
    <i t="grand">
      <x/>
    </i>
  </rowItems>
  <colItems count="1">
    <i/>
  </colItems>
  <dataFields count="1">
    <dataField name="Sum of sales in Lakhs" fld="9" baseField="2" baseItem="1"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5A1EC72-21C4-4421-AE4B-1577919C305B}" sourceName="Sales Person">
  <pivotTables>
    <pivotTable tabId="5" name="PivotTable5"/>
    <pivotTable tabId="5" name="PivotTable6"/>
    <pivotTable tabId="5" name="PivotTable7"/>
    <pivotTable tabId="5" name="PivotTable8"/>
  </pivotTables>
  <data>
    <tabular pivotCacheId="2026594750">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57F1FD-62AD-49D2-A3CC-04CA82F71E99}" sourceName="Region">
  <pivotTables>
    <pivotTable tabId="5" name="PivotTable5"/>
    <pivotTable tabId="5" name="PivotTable6"/>
    <pivotTable tabId="5" name="PivotTable7"/>
    <pivotTable tabId="5" name="PivotTable8"/>
  </pivotTables>
  <data>
    <tabular pivotCacheId="2026594750">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F61E4B-CDDA-4D55-9030-2DB180906F6A}" sourceName="Product">
  <pivotTables>
    <pivotTable tabId="5" name="PivotTable5"/>
    <pivotTable tabId="5" name="PivotTable6"/>
    <pivotTable tabId="5" name="PivotTable7"/>
    <pivotTable tabId="5" name="PivotTable8"/>
  </pivotTables>
  <data>
    <tabular pivotCacheId="2026594750">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4DDC6FEF-2F84-41A9-9FF0-F55D4BAFB3E7}" cache="Slicer_Sales_Person" caption="Sales Person" style="SlicerStyleDark1" rowHeight="234950"/>
  <slicer name="Region 1" xr10:uid="{21A94149-DBB0-4073-B60E-D702EC841502}" cache="Slicer_Region" caption="Region" columnCount="2" showCaption="0" style="SlicerStyleDark1" rowHeight="234950"/>
  <slicer name="Product 1" xr10:uid="{EB06013B-DB5C-40D5-8F0C-DAE064A3B5C9}" cache="Slicer_Product" caption="Produc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9A58BDF6-0F78-4C07-B8BA-D67FF62526C9}" cache="Slicer_Sales_Person" caption="Sales Person" rowHeight="234950"/>
  <slicer name="Region" xr10:uid="{B08D7B7F-4424-4801-B77E-B14F6114883F}" cache="Slicer_Region" caption="Region" columnCount="2" showCaption="0" style="SlicerStyleDark1" rowHeight="234950"/>
  <slicer name="Product" xr10:uid="{96E28594-C00E-4A47-AB07-25F8ABC44BB6}"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F17712-C4D9-4A0C-AA4D-4151BCB2DA9F}" name="Table2" displayName="Table2" ref="A1:I51" totalsRowShown="0" headerRowDxfId="0" dataDxfId="1" dataCellStyle="Currency [0]">
  <autoFilter ref="A1:I51" xr:uid="{AAD28D6D-DF24-42A9-A301-56F1080E61EF}"/>
  <tableColumns count="9">
    <tableColumn id="1" xr3:uid="{A15BC29D-F960-4055-AD77-CDFBC9266C18}" name="Date" dataDxfId="7"/>
    <tableColumn id="2" xr3:uid="{73E269A6-DCFB-45DD-BD2E-9D8BE319864B}" name="Sales Person"/>
    <tableColumn id="3" xr3:uid="{14EA3C9C-6A7C-4223-9BA2-6ED59CD81F20}" name="Region"/>
    <tableColumn id="4" xr3:uid="{ABFB2D74-F052-4BA1-BC48-4EF8AB9470F5}" name="Product"/>
    <tableColumn id="5" xr3:uid="{B2B65FE6-E1A6-474C-B612-E19D45AC10C5}" name="Units Sold" dataDxfId="6"/>
    <tableColumn id="6" xr3:uid="{647BB30A-5635-4A50-8A38-24BD6B9B9194}" name="Unit Price" dataDxfId="5" dataCellStyle="Currency [0]">
      <calculatedColumnFormula>IF(D2="Tent",6000,IF(D2="Blender",3500,IF(D2="Action Figure",1200,IF(D2="Novel",1000,IF(D2="Sneakers",4000,IF(D2="Smartphone",10000,IF(D2="moisturizer",600,"No Product Found")))))))</calculatedColumnFormula>
    </tableColumn>
    <tableColumn id="7" xr3:uid="{6BF11D1C-631C-4604-A3FB-9D894B6075CE}" name="Cost of Goods" dataDxfId="4" dataCellStyle="Currency [0]">
      <calculatedColumnFormula>IF(D2="Tent",4000,IF(D2="Blender",2500,IF(D2="Action Figure",800,IF(D2="Novel",700,IF(D2="Sneakers",3000,IF(D2="Smartphone",7000,IF(D2="moisturizer",400,"No Product Found")))))))</calculatedColumnFormula>
    </tableColumn>
    <tableColumn id="8" xr3:uid="{0E7BE79F-22BF-422F-A8F7-346F914EFCAA}" name="Total Sales" dataDxfId="3" dataCellStyle="Currency [0]">
      <calculatedColumnFormula>F2*E2</calculatedColumnFormula>
    </tableColumn>
    <tableColumn id="9" xr3:uid="{6C6D23F7-A22C-4EB2-A06F-C858F82D00CE}" name="profit" dataDxfId="2">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36A1D-95AB-4167-90C9-D205D82C8E78}">
  <dimension ref="A1"/>
  <sheetViews>
    <sheetView tabSelected="1" zoomScale="64" workbookViewId="0">
      <selection activeCell="Y33" sqref="Y33"/>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CCE2-9864-48FC-A334-335A3FC63E2A}">
  <dimension ref="A3:L14"/>
  <sheetViews>
    <sheetView zoomScale="98" workbookViewId="0">
      <selection activeCell="L7" sqref="L7"/>
    </sheetView>
  </sheetViews>
  <sheetFormatPr defaultRowHeight="13.8"/>
  <cols>
    <col min="1" max="1" width="13.3984375" bestFit="1" customWidth="1"/>
    <col min="2" max="2" width="20.59765625" bestFit="1" customWidth="1"/>
    <col min="4" max="4" width="13.3984375" bestFit="1" customWidth="1"/>
    <col min="5" max="6" width="20.59765625" bestFit="1" customWidth="1"/>
    <col min="7" max="7" width="13.3984375" bestFit="1" customWidth="1"/>
    <col min="8" max="8" width="20.59765625" bestFit="1" customWidth="1"/>
    <col min="11" max="11" width="13.3984375" bestFit="1" customWidth="1"/>
    <col min="12" max="12" width="16.8984375" bestFit="1" customWidth="1"/>
  </cols>
  <sheetData>
    <row r="3" spans="1:12">
      <c r="A3" s="7" t="s">
        <v>34</v>
      </c>
      <c r="B3" t="s">
        <v>37</v>
      </c>
      <c r="D3" s="7" t="s">
        <v>34</v>
      </c>
      <c r="E3" t="s">
        <v>37</v>
      </c>
      <c r="G3" s="7" t="s">
        <v>34</v>
      </c>
      <c r="H3" t="s">
        <v>37</v>
      </c>
      <c r="K3" s="7" t="s">
        <v>34</v>
      </c>
      <c r="L3" t="s">
        <v>36</v>
      </c>
    </row>
    <row r="4" spans="1:12">
      <c r="A4" s="3" t="s">
        <v>12</v>
      </c>
      <c r="B4" s="9">
        <v>35.344000000000001</v>
      </c>
      <c r="D4" s="3" t="s">
        <v>16</v>
      </c>
      <c r="E4" s="9">
        <v>5.4720000000000004</v>
      </c>
      <c r="G4" s="3" t="s">
        <v>8</v>
      </c>
      <c r="H4" s="9">
        <v>15.916</v>
      </c>
      <c r="K4" s="3" t="s">
        <v>16</v>
      </c>
      <c r="L4" s="8">
        <v>456</v>
      </c>
    </row>
    <row r="5" spans="1:12">
      <c r="A5" s="3" t="s">
        <v>18</v>
      </c>
      <c r="B5" s="9">
        <v>26.614000000000001</v>
      </c>
      <c r="D5" s="3" t="s">
        <v>13</v>
      </c>
      <c r="E5" s="9">
        <v>22.225000000000001</v>
      </c>
      <c r="G5" s="3" t="s">
        <v>25</v>
      </c>
      <c r="H5" s="9">
        <v>6.7759999999999998</v>
      </c>
      <c r="K5" s="3" t="s">
        <v>13</v>
      </c>
      <c r="L5" s="8">
        <v>635</v>
      </c>
    </row>
    <row r="6" spans="1:12">
      <c r="A6" s="3" t="s">
        <v>15</v>
      </c>
      <c r="B6" s="9">
        <v>28.706</v>
      </c>
      <c r="D6" s="3" t="s">
        <v>26</v>
      </c>
      <c r="E6" s="9">
        <v>7.0679999999999996</v>
      </c>
      <c r="G6" s="3" t="s">
        <v>17</v>
      </c>
      <c r="H6" s="9">
        <v>19.57</v>
      </c>
      <c r="K6" s="3" t="s">
        <v>26</v>
      </c>
      <c r="L6" s="8">
        <v>1178</v>
      </c>
    </row>
    <row r="7" spans="1:12">
      <c r="A7" s="3" t="s">
        <v>9</v>
      </c>
      <c r="B7" s="9">
        <v>38.780999999999999</v>
      </c>
      <c r="D7" s="3" t="s">
        <v>19</v>
      </c>
      <c r="E7" s="9">
        <v>8.98</v>
      </c>
      <c r="G7" s="3" t="s">
        <v>22</v>
      </c>
      <c r="H7" s="9">
        <v>16.614000000000001</v>
      </c>
      <c r="K7" s="3" t="s">
        <v>19</v>
      </c>
      <c r="L7" s="8">
        <v>898</v>
      </c>
    </row>
    <row r="8" spans="1:12">
      <c r="A8" s="3" t="s">
        <v>35</v>
      </c>
      <c r="B8" s="9">
        <v>129.44499999999999</v>
      </c>
      <c r="D8" s="3" t="s">
        <v>28</v>
      </c>
      <c r="E8" s="9">
        <v>23.5</v>
      </c>
      <c r="G8" s="3" t="s">
        <v>24</v>
      </c>
      <c r="H8" s="9">
        <v>17.411999999999999</v>
      </c>
      <c r="K8" s="3" t="s">
        <v>28</v>
      </c>
      <c r="L8" s="8">
        <v>235</v>
      </c>
    </row>
    <row r="9" spans="1:12">
      <c r="D9" s="3" t="s">
        <v>21</v>
      </c>
      <c r="E9" s="9">
        <v>31.96</v>
      </c>
      <c r="G9" s="3" t="s">
        <v>14</v>
      </c>
      <c r="H9" s="9">
        <v>11.1</v>
      </c>
      <c r="K9" s="3" t="s">
        <v>21</v>
      </c>
      <c r="L9" s="8">
        <v>799</v>
      </c>
    </row>
    <row r="10" spans="1:12">
      <c r="D10" s="3" t="s">
        <v>10</v>
      </c>
      <c r="E10" s="9">
        <v>30.24</v>
      </c>
      <c r="G10" s="3" t="s">
        <v>11</v>
      </c>
      <c r="H10" s="9">
        <v>17.774000000000001</v>
      </c>
      <c r="K10" s="3" t="s">
        <v>10</v>
      </c>
      <c r="L10" s="8">
        <v>504</v>
      </c>
    </row>
    <row r="11" spans="1:12">
      <c r="D11" s="3" t="s">
        <v>35</v>
      </c>
      <c r="E11" s="9">
        <v>129.44499999999999</v>
      </c>
      <c r="G11" s="3" t="s">
        <v>20</v>
      </c>
      <c r="H11" s="9">
        <v>10.654</v>
      </c>
      <c r="K11" s="3" t="s">
        <v>35</v>
      </c>
      <c r="L11" s="8">
        <v>4705</v>
      </c>
    </row>
    <row r="12" spans="1:12">
      <c r="G12" s="3" t="s">
        <v>27</v>
      </c>
      <c r="H12" s="9">
        <v>7.8440000000000003</v>
      </c>
    </row>
    <row r="13" spans="1:12">
      <c r="G13" s="3" t="s">
        <v>23</v>
      </c>
      <c r="H13" s="9">
        <v>5.7850000000000001</v>
      </c>
    </row>
    <row r="14" spans="1:12">
      <c r="G14" s="3" t="s">
        <v>35</v>
      </c>
      <c r="H14" s="9">
        <v>129.44499999999999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topLeftCell="E1" workbookViewId="0">
      <selection activeCell="K6" sqref="K6"/>
    </sheetView>
  </sheetViews>
  <sheetFormatPr defaultColWidth="17.296875" defaultRowHeight="13.8"/>
  <sheetData>
    <row r="1" spans="1:11" ht="20.100000000000001" customHeight="1" thickBot="1">
      <c r="A1" s="1" t="s">
        <v>0</v>
      </c>
      <c r="B1" s="1" t="s">
        <v>1</v>
      </c>
      <c r="C1" s="1" t="s">
        <v>2</v>
      </c>
      <c r="D1" s="1" t="s">
        <v>3</v>
      </c>
      <c r="E1" s="1" t="s">
        <v>4</v>
      </c>
      <c r="F1" s="1" t="s">
        <v>5</v>
      </c>
      <c r="G1" s="1" t="s">
        <v>6</v>
      </c>
      <c r="H1" s="1" t="s">
        <v>7</v>
      </c>
      <c r="I1" s="5" t="s">
        <v>33</v>
      </c>
      <c r="K1" s="5" t="s">
        <v>29</v>
      </c>
    </row>
    <row r="2" spans="1:11" ht="14.4" thickTop="1">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K2" s="11">
        <f>SUM(H2:H51)</f>
        <v>12944500</v>
      </c>
    </row>
    <row r="3" spans="1:11">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H3-(G3*E3)</f>
        <v>128000</v>
      </c>
      <c r="K3" t="s">
        <v>30</v>
      </c>
    </row>
    <row r="4" spans="1:11">
      <c r="A4" s="2">
        <v>44230</v>
      </c>
      <c r="B4" t="s">
        <v>14</v>
      </c>
      <c r="C4" t="s">
        <v>15</v>
      </c>
      <c r="D4" t="s">
        <v>16</v>
      </c>
      <c r="E4" s="3">
        <v>136</v>
      </c>
      <c r="F4" s="4">
        <f t="shared" si="0"/>
        <v>1200</v>
      </c>
      <c r="G4" s="4">
        <f t="shared" si="1"/>
        <v>800</v>
      </c>
      <c r="H4" s="4">
        <f t="shared" si="2"/>
        <v>163200</v>
      </c>
      <c r="I4" s="6">
        <f t="shared" si="3"/>
        <v>54400</v>
      </c>
      <c r="K4" s="11">
        <f>SUM(E2:E51)</f>
        <v>4705</v>
      </c>
    </row>
    <row r="5" spans="1:11">
      <c r="A5" s="2">
        <v>44085</v>
      </c>
      <c r="B5" t="s">
        <v>17</v>
      </c>
      <c r="C5" t="s">
        <v>18</v>
      </c>
      <c r="D5" t="s">
        <v>19</v>
      </c>
      <c r="E5" s="3">
        <v>91</v>
      </c>
      <c r="F5" s="4">
        <f t="shared" si="0"/>
        <v>1000</v>
      </c>
      <c r="G5" s="4">
        <f t="shared" si="1"/>
        <v>700</v>
      </c>
      <c r="H5" s="4">
        <f t="shared" si="2"/>
        <v>91000</v>
      </c>
      <c r="I5" s="6">
        <f t="shared" si="3"/>
        <v>27300</v>
      </c>
      <c r="K5" t="s">
        <v>31</v>
      </c>
    </row>
    <row r="6" spans="1:11">
      <c r="A6" s="2">
        <v>44462</v>
      </c>
      <c r="B6" t="s">
        <v>20</v>
      </c>
      <c r="C6" t="s">
        <v>9</v>
      </c>
      <c r="D6" t="s">
        <v>21</v>
      </c>
      <c r="E6" s="3">
        <v>110</v>
      </c>
      <c r="F6" s="4">
        <f t="shared" si="0"/>
        <v>4000</v>
      </c>
      <c r="G6" s="4">
        <f t="shared" si="1"/>
        <v>3000</v>
      </c>
      <c r="H6" s="4">
        <f t="shared" si="2"/>
        <v>440000</v>
      </c>
      <c r="I6" s="6">
        <f t="shared" si="3"/>
        <v>110000</v>
      </c>
      <c r="K6" s="11">
        <f>SUM(I2:I51)</f>
        <v>3834400</v>
      </c>
    </row>
    <row r="7" spans="1:11">
      <c r="A7" s="2">
        <v>44105</v>
      </c>
      <c r="B7" t="s">
        <v>22</v>
      </c>
      <c r="C7" t="s">
        <v>12</v>
      </c>
      <c r="D7" t="s">
        <v>16</v>
      </c>
      <c r="E7" s="3">
        <v>51</v>
      </c>
      <c r="F7" s="4">
        <f t="shared" si="0"/>
        <v>1200</v>
      </c>
      <c r="G7" s="4">
        <f t="shared" si="1"/>
        <v>800</v>
      </c>
      <c r="H7" s="4">
        <f t="shared" si="2"/>
        <v>61200</v>
      </c>
      <c r="I7" s="6">
        <f t="shared" si="3"/>
        <v>20400</v>
      </c>
      <c r="K7" s="11" t="s">
        <v>32</v>
      </c>
    </row>
    <row r="8" spans="1:11">
      <c r="A8" s="2">
        <v>44413</v>
      </c>
      <c r="B8" t="s">
        <v>23</v>
      </c>
      <c r="C8" t="s">
        <v>18</v>
      </c>
      <c r="D8" t="s">
        <v>19</v>
      </c>
      <c r="E8" s="3">
        <v>78</v>
      </c>
      <c r="F8" s="4">
        <f t="shared" si="0"/>
        <v>1000</v>
      </c>
      <c r="G8" s="4">
        <f t="shared" si="1"/>
        <v>700</v>
      </c>
      <c r="H8" s="4">
        <f t="shared" si="2"/>
        <v>78000</v>
      </c>
      <c r="I8" s="6">
        <f t="shared" si="3"/>
        <v>23400</v>
      </c>
      <c r="K8" s="11">
        <f>AVERAGE(H2:H51)</f>
        <v>258890</v>
      </c>
    </row>
    <row r="9" spans="1:11">
      <c r="A9" s="2">
        <v>44141</v>
      </c>
      <c r="B9" t="s">
        <v>24</v>
      </c>
      <c r="C9" t="s">
        <v>15</v>
      </c>
      <c r="D9" t="s">
        <v>10</v>
      </c>
      <c r="E9" s="3">
        <v>146</v>
      </c>
      <c r="F9" s="4">
        <f t="shared" si="0"/>
        <v>6000</v>
      </c>
      <c r="G9" s="4">
        <f t="shared" si="1"/>
        <v>4000</v>
      </c>
      <c r="H9" s="4">
        <f t="shared" si="2"/>
        <v>876000</v>
      </c>
      <c r="I9" s="6">
        <f t="shared" si="3"/>
        <v>292000</v>
      </c>
    </row>
    <row r="10" spans="1:11">
      <c r="A10" s="2">
        <v>44223</v>
      </c>
      <c r="B10" t="s">
        <v>25</v>
      </c>
      <c r="C10" t="s">
        <v>9</v>
      </c>
      <c r="D10" t="s">
        <v>26</v>
      </c>
      <c r="E10" s="3">
        <v>101</v>
      </c>
      <c r="F10" s="4">
        <f t="shared" si="0"/>
        <v>600</v>
      </c>
      <c r="G10" s="4">
        <f t="shared" si="1"/>
        <v>400</v>
      </c>
      <c r="H10" s="4">
        <f t="shared" si="2"/>
        <v>60600</v>
      </c>
      <c r="I10" s="6">
        <f t="shared" si="3"/>
        <v>20200</v>
      </c>
      <c r="K10" s="6"/>
    </row>
    <row r="11" spans="1:11">
      <c r="A11" s="2">
        <v>44442</v>
      </c>
      <c r="B11" t="s">
        <v>27</v>
      </c>
      <c r="C11" t="s">
        <v>15</v>
      </c>
      <c r="D11" s="10" t="s">
        <v>10</v>
      </c>
      <c r="E11" s="3">
        <v>52</v>
      </c>
      <c r="F11" s="4">
        <f t="shared" si="0"/>
        <v>6000</v>
      </c>
      <c r="G11" s="4">
        <f t="shared" si="1"/>
        <v>4000</v>
      </c>
      <c r="H11" s="4">
        <f t="shared" si="2"/>
        <v>312000</v>
      </c>
      <c r="I11" s="6">
        <f t="shared" si="3"/>
        <v>104000</v>
      </c>
    </row>
    <row r="12" spans="1:11">
      <c r="A12" s="2">
        <v>44469</v>
      </c>
      <c r="B12" t="s">
        <v>27</v>
      </c>
      <c r="C12" t="s">
        <v>12</v>
      </c>
      <c r="D12" t="s">
        <v>16</v>
      </c>
      <c r="E12" s="3">
        <v>55</v>
      </c>
      <c r="F12" s="4">
        <f t="shared" si="0"/>
        <v>1200</v>
      </c>
      <c r="G12" s="4">
        <f t="shared" si="1"/>
        <v>800</v>
      </c>
      <c r="H12" s="4">
        <f t="shared" si="2"/>
        <v>66000</v>
      </c>
      <c r="I12" s="6">
        <f t="shared" si="3"/>
        <v>22000</v>
      </c>
    </row>
    <row r="13" spans="1:11">
      <c r="A13" s="2">
        <v>44084</v>
      </c>
      <c r="B13" t="s">
        <v>27</v>
      </c>
      <c r="C13" t="s">
        <v>15</v>
      </c>
      <c r="D13" t="s">
        <v>19</v>
      </c>
      <c r="E13" s="3">
        <v>137</v>
      </c>
      <c r="F13" s="4">
        <f t="shared" si="0"/>
        <v>1000</v>
      </c>
      <c r="G13" s="4">
        <f t="shared" si="1"/>
        <v>700</v>
      </c>
      <c r="H13" s="4">
        <f t="shared" si="2"/>
        <v>137000</v>
      </c>
      <c r="I13" s="6">
        <f t="shared" si="3"/>
        <v>41100</v>
      </c>
    </row>
    <row r="14" spans="1:11">
      <c r="A14" s="2">
        <v>44404</v>
      </c>
      <c r="B14" t="s">
        <v>24</v>
      </c>
      <c r="C14" t="s">
        <v>15</v>
      </c>
      <c r="D14" t="s">
        <v>13</v>
      </c>
      <c r="E14" s="3">
        <v>96</v>
      </c>
      <c r="F14" s="4">
        <f t="shared" si="0"/>
        <v>3500</v>
      </c>
      <c r="G14" s="4">
        <f t="shared" si="1"/>
        <v>2500</v>
      </c>
      <c r="H14" s="4">
        <f t="shared" si="2"/>
        <v>336000</v>
      </c>
      <c r="I14" s="6">
        <f t="shared" si="3"/>
        <v>96000</v>
      </c>
    </row>
    <row r="15" spans="1:11">
      <c r="A15" s="2">
        <v>44113</v>
      </c>
      <c r="B15" t="s">
        <v>25</v>
      </c>
      <c r="C15" t="s">
        <v>12</v>
      </c>
      <c r="D15" t="s">
        <v>21</v>
      </c>
      <c r="E15" s="3">
        <v>52</v>
      </c>
      <c r="F15" s="4">
        <f t="shared" si="0"/>
        <v>4000</v>
      </c>
      <c r="G15" s="4">
        <f t="shared" si="1"/>
        <v>3000</v>
      </c>
      <c r="H15" s="4">
        <f t="shared" si="2"/>
        <v>208000</v>
      </c>
      <c r="I15" s="6">
        <f t="shared" si="3"/>
        <v>52000</v>
      </c>
    </row>
    <row r="16" spans="1:11">
      <c r="A16" s="2">
        <v>44292</v>
      </c>
      <c r="B16" t="s">
        <v>17</v>
      </c>
      <c r="C16" t="s">
        <v>9</v>
      </c>
      <c r="D16" t="s">
        <v>13</v>
      </c>
      <c r="E16" s="3">
        <v>76</v>
      </c>
      <c r="F16" s="4">
        <f t="shared" si="0"/>
        <v>3500</v>
      </c>
      <c r="G16" s="4">
        <f t="shared" si="1"/>
        <v>2500</v>
      </c>
      <c r="H16" s="4">
        <f t="shared" si="2"/>
        <v>266000</v>
      </c>
      <c r="I16" s="6">
        <f t="shared" si="3"/>
        <v>76000</v>
      </c>
    </row>
    <row r="17" spans="1:9">
      <c r="A17" s="2">
        <v>44362</v>
      </c>
      <c r="B17" t="s">
        <v>11</v>
      </c>
      <c r="C17" t="s">
        <v>18</v>
      </c>
      <c r="D17" t="s">
        <v>21</v>
      </c>
      <c r="E17" s="3">
        <v>145</v>
      </c>
      <c r="F17" s="4">
        <f t="shared" si="0"/>
        <v>4000</v>
      </c>
      <c r="G17" s="4">
        <f t="shared" si="1"/>
        <v>3000</v>
      </c>
      <c r="H17" s="4">
        <f t="shared" si="2"/>
        <v>580000</v>
      </c>
      <c r="I17" s="6">
        <f t="shared" si="3"/>
        <v>145000</v>
      </c>
    </row>
    <row r="18" spans="1:9">
      <c r="A18" s="2">
        <v>44083</v>
      </c>
      <c r="B18" t="s">
        <v>8</v>
      </c>
      <c r="C18" t="s">
        <v>15</v>
      </c>
      <c r="D18" t="s">
        <v>26</v>
      </c>
      <c r="E18" s="3">
        <v>83</v>
      </c>
      <c r="F18" s="4">
        <f t="shared" si="0"/>
        <v>600</v>
      </c>
      <c r="G18" s="4">
        <f t="shared" si="1"/>
        <v>400</v>
      </c>
      <c r="H18" s="4">
        <f t="shared" si="2"/>
        <v>49800</v>
      </c>
      <c r="I18" s="6">
        <f t="shared" si="3"/>
        <v>16600</v>
      </c>
    </row>
    <row r="19" spans="1:9">
      <c r="A19" s="2">
        <v>44421</v>
      </c>
      <c r="B19" t="s">
        <v>20</v>
      </c>
      <c r="C19" t="s">
        <v>15</v>
      </c>
      <c r="D19" t="s">
        <v>19</v>
      </c>
      <c r="E19" s="3">
        <v>91</v>
      </c>
      <c r="F19" s="4">
        <f t="shared" si="0"/>
        <v>1000</v>
      </c>
      <c r="G19" s="4">
        <f t="shared" si="1"/>
        <v>700</v>
      </c>
      <c r="H19" s="4">
        <f t="shared" si="2"/>
        <v>91000</v>
      </c>
      <c r="I19" s="6">
        <f t="shared" si="3"/>
        <v>27300</v>
      </c>
    </row>
    <row r="20" spans="1:9">
      <c r="A20" s="2">
        <v>44070</v>
      </c>
      <c r="B20" t="s">
        <v>22</v>
      </c>
      <c r="C20" t="s">
        <v>9</v>
      </c>
      <c r="D20" t="s">
        <v>28</v>
      </c>
      <c r="E20" s="3">
        <v>108</v>
      </c>
      <c r="F20" s="4">
        <f t="shared" si="0"/>
        <v>10000</v>
      </c>
      <c r="G20" s="4">
        <f t="shared" si="1"/>
        <v>7000</v>
      </c>
      <c r="H20" s="4">
        <f t="shared" si="2"/>
        <v>1080000</v>
      </c>
      <c r="I20" s="6">
        <f t="shared" si="3"/>
        <v>324000</v>
      </c>
    </row>
    <row r="21" spans="1:9">
      <c r="A21" s="2">
        <v>44293</v>
      </c>
      <c r="B21" t="s">
        <v>14</v>
      </c>
      <c r="C21" t="s">
        <v>18</v>
      </c>
      <c r="D21" t="s">
        <v>21</v>
      </c>
      <c r="E21" s="3">
        <v>144</v>
      </c>
      <c r="F21" s="4">
        <f t="shared" si="0"/>
        <v>4000</v>
      </c>
      <c r="G21" s="4">
        <f t="shared" si="1"/>
        <v>3000</v>
      </c>
      <c r="H21" s="4">
        <f t="shared" si="2"/>
        <v>576000</v>
      </c>
      <c r="I21" s="6">
        <f t="shared" si="3"/>
        <v>144000</v>
      </c>
    </row>
    <row r="22" spans="1:9">
      <c r="A22" s="2">
        <v>43990</v>
      </c>
      <c r="B22" t="s">
        <v>20</v>
      </c>
      <c r="C22" t="s">
        <v>15</v>
      </c>
      <c r="D22" t="s">
        <v>26</v>
      </c>
      <c r="E22" s="3">
        <v>92</v>
      </c>
      <c r="F22" s="4">
        <f t="shared" si="0"/>
        <v>600</v>
      </c>
      <c r="G22" s="4">
        <f t="shared" si="1"/>
        <v>400</v>
      </c>
      <c r="H22" s="4">
        <f t="shared" si="2"/>
        <v>55200</v>
      </c>
      <c r="I22" s="6">
        <f t="shared" si="3"/>
        <v>18400</v>
      </c>
    </row>
    <row r="23" spans="1:9">
      <c r="A23" s="2">
        <v>44551</v>
      </c>
      <c r="B23" t="s">
        <v>24</v>
      </c>
      <c r="C23" t="s">
        <v>9</v>
      </c>
      <c r="D23" t="s">
        <v>10</v>
      </c>
      <c r="E23" s="3">
        <v>71</v>
      </c>
      <c r="F23" s="4">
        <f t="shared" si="0"/>
        <v>6000</v>
      </c>
      <c r="G23" s="4">
        <f t="shared" si="1"/>
        <v>4000</v>
      </c>
      <c r="H23" s="4">
        <f t="shared" si="2"/>
        <v>426000</v>
      </c>
      <c r="I23" s="6">
        <f t="shared" si="3"/>
        <v>142000</v>
      </c>
    </row>
    <row r="24" spans="1:9">
      <c r="A24" s="2">
        <v>44418</v>
      </c>
      <c r="B24" t="s">
        <v>8</v>
      </c>
      <c r="C24" t="s">
        <v>12</v>
      </c>
      <c r="D24" t="s">
        <v>26</v>
      </c>
      <c r="E24" s="3">
        <v>103</v>
      </c>
      <c r="F24" s="4">
        <f t="shared" si="0"/>
        <v>600</v>
      </c>
      <c r="G24" s="4">
        <f t="shared" si="1"/>
        <v>400</v>
      </c>
      <c r="H24" s="4">
        <f t="shared" si="2"/>
        <v>61800</v>
      </c>
      <c r="I24" s="6">
        <f t="shared" si="3"/>
        <v>20600</v>
      </c>
    </row>
    <row r="25" spans="1:9">
      <c r="A25" s="2">
        <v>44532</v>
      </c>
      <c r="B25" t="s">
        <v>27</v>
      </c>
      <c r="C25" t="s">
        <v>18</v>
      </c>
      <c r="D25" t="s">
        <v>19</v>
      </c>
      <c r="E25" s="3">
        <v>55</v>
      </c>
      <c r="F25" s="4">
        <f t="shared" si="0"/>
        <v>1000</v>
      </c>
      <c r="G25" s="4">
        <f t="shared" si="1"/>
        <v>700</v>
      </c>
      <c r="H25" s="4">
        <f t="shared" si="2"/>
        <v>55000</v>
      </c>
      <c r="I25" s="6">
        <f t="shared" si="3"/>
        <v>16500</v>
      </c>
    </row>
    <row r="26" spans="1:9">
      <c r="A26" s="2">
        <v>44438</v>
      </c>
      <c r="B26" t="s">
        <v>22</v>
      </c>
      <c r="C26" t="s">
        <v>12</v>
      </c>
      <c r="D26" t="s">
        <v>21</v>
      </c>
      <c r="E26" s="3">
        <v>93</v>
      </c>
      <c r="F26" s="4">
        <f t="shared" si="0"/>
        <v>4000</v>
      </c>
      <c r="G26" s="4">
        <f t="shared" si="1"/>
        <v>3000</v>
      </c>
      <c r="H26" s="4">
        <f t="shared" si="2"/>
        <v>372000</v>
      </c>
      <c r="I26" s="6">
        <f t="shared" si="3"/>
        <v>93000</v>
      </c>
    </row>
    <row r="27" spans="1:9">
      <c r="A27" s="2">
        <v>43971</v>
      </c>
      <c r="B27" t="s">
        <v>14</v>
      </c>
      <c r="C27" t="s">
        <v>15</v>
      </c>
      <c r="D27" t="s">
        <v>26</v>
      </c>
      <c r="E27" s="3">
        <v>143</v>
      </c>
      <c r="F27" s="4">
        <f t="shared" si="0"/>
        <v>600</v>
      </c>
      <c r="G27" s="4">
        <f t="shared" si="1"/>
        <v>400</v>
      </c>
      <c r="H27" s="4">
        <f t="shared" si="2"/>
        <v>85800</v>
      </c>
      <c r="I27" s="6">
        <f t="shared" si="3"/>
        <v>28600</v>
      </c>
    </row>
    <row r="28" spans="1:9">
      <c r="A28" s="2">
        <v>44452</v>
      </c>
      <c r="B28" t="s">
        <v>23</v>
      </c>
      <c r="C28" t="s">
        <v>9</v>
      </c>
      <c r="D28" t="s">
        <v>13</v>
      </c>
      <c r="E28" s="3">
        <v>143</v>
      </c>
      <c r="F28" s="4">
        <f t="shared" si="0"/>
        <v>3500</v>
      </c>
      <c r="G28" s="4">
        <f t="shared" si="1"/>
        <v>2500</v>
      </c>
      <c r="H28" s="4">
        <f t="shared" si="2"/>
        <v>500500</v>
      </c>
      <c r="I28" s="6">
        <f t="shared" si="3"/>
        <v>143000</v>
      </c>
    </row>
    <row r="29" spans="1:9">
      <c r="A29" s="2">
        <v>44496</v>
      </c>
      <c r="B29" t="s">
        <v>25</v>
      </c>
      <c r="C29" t="s">
        <v>18</v>
      </c>
      <c r="D29" t="s">
        <v>26</v>
      </c>
      <c r="E29" s="3">
        <v>99</v>
      </c>
      <c r="F29" s="4">
        <f t="shared" si="0"/>
        <v>600</v>
      </c>
      <c r="G29" s="4">
        <f t="shared" si="1"/>
        <v>400</v>
      </c>
      <c r="H29" s="4">
        <f t="shared" si="2"/>
        <v>59400</v>
      </c>
      <c r="I29" s="6">
        <f t="shared" si="3"/>
        <v>19800</v>
      </c>
    </row>
    <row r="30" spans="1:9">
      <c r="A30" s="2">
        <v>44187</v>
      </c>
      <c r="B30" t="s">
        <v>17</v>
      </c>
      <c r="C30" t="s">
        <v>9</v>
      </c>
      <c r="D30" t="s">
        <v>19</v>
      </c>
      <c r="E30" s="3">
        <v>120</v>
      </c>
      <c r="F30" s="4">
        <f t="shared" si="0"/>
        <v>1000</v>
      </c>
      <c r="G30" s="4">
        <f t="shared" si="1"/>
        <v>700</v>
      </c>
      <c r="H30" s="4">
        <f t="shared" si="2"/>
        <v>120000</v>
      </c>
      <c r="I30" s="6">
        <f t="shared" si="3"/>
        <v>36000</v>
      </c>
    </row>
    <row r="31" spans="1:9">
      <c r="A31" s="2">
        <v>44405</v>
      </c>
      <c r="B31" t="s">
        <v>11</v>
      </c>
      <c r="C31" t="s">
        <v>15</v>
      </c>
      <c r="D31" t="s">
        <v>13</v>
      </c>
      <c r="E31" s="3">
        <v>66</v>
      </c>
      <c r="F31" s="4">
        <f t="shared" si="0"/>
        <v>3500</v>
      </c>
      <c r="G31" s="4">
        <f t="shared" si="1"/>
        <v>2500</v>
      </c>
      <c r="H31" s="4">
        <f t="shared" si="2"/>
        <v>231000</v>
      </c>
      <c r="I31" s="6">
        <f t="shared" si="3"/>
        <v>66000</v>
      </c>
    </row>
    <row r="32" spans="1:9">
      <c r="A32" s="2">
        <v>44103</v>
      </c>
      <c r="B32" t="s">
        <v>25</v>
      </c>
      <c r="C32" t="s">
        <v>18</v>
      </c>
      <c r="D32" t="s">
        <v>16</v>
      </c>
      <c r="E32" s="3">
        <v>88</v>
      </c>
      <c r="F32" s="4">
        <f t="shared" si="0"/>
        <v>1200</v>
      </c>
      <c r="G32" s="4">
        <f t="shared" si="1"/>
        <v>800</v>
      </c>
      <c r="H32" s="4">
        <f t="shared" si="2"/>
        <v>105600</v>
      </c>
      <c r="I32" s="6">
        <f t="shared" si="3"/>
        <v>35200</v>
      </c>
    </row>
    <row r="33" spans="1:9">
      <c r="A33" s="2">
        <v>44126</v>
      </c>
      <c r="B33" t="s">
        <v>17</v>
      </c>
      <c r="C33" t="s">
        <v>12</v>
      </c>
      <c r="D33" t="s">
        <v>28</v>
      </c>
      <c r="E33" s="3">
        <v>127</v>
      </c>
      <c r="F33" s="4">
        <f t="shared" si="0"/>
        <v>10000</v>
      </c>
      <c r="G33" s="4">
        <f t="shared" si="1"/>
        <v>7000</v>
      </c>
      <c r="H33" s="4">
        <f t="shared" si="2"/>
        <v>1270000</v>
      </c>
      <c r="I33" s="6">
        <f t="shared" si="3"/>
        <v>381000</v>
      </c>
    </row>
    <row r="34" spans="1:9">
      <c r="A34" s="2">
        <v>43970</v>
      </c>
      <c r="B34" t="s">
        <v>20</v>
      </c>
      <c r="C34" t="s">
        <v>9</v>
      </c>
      <c r="D34" t="s">
        <v>21</v>
      </c>
      <c r="E34" s="3">
        <v>67</v>
      </c>
      <c r="F34" s="4">
        <f t="shared" si="0"/>
        <v>4000</v>
      </c>
      <c r="G34" s="4">
        <f t="shared" si="1"/>
        <v>3000</v>
      </c>
      <c r="H34" s="4">
        <f t="shared" si="2"/>
        <v>268000</v>
      </c>
      <c r="I34" s="6">
        <f t="shared" si="3"/>
        <v>67000</v>
      </c>
    </row>
    <row r="35" spans="1:9">
      <c r="A35" s="2">
        <v>44536</v>
      </c>
      <c r="B35" t="s">
        <v>11</v>
      </c>
      <c r="C35" t="s">
        <v>12</v>
      </c>
      <c r="D35" t="s">
        <v>16</v>
      </c>
      <c r="E35" s="3">
        <v>67</v>
      </c>
      <c r="F35" s="4">
        <f t="shared" si="0"/>
        <v>1200</v>
      </c>
      <c r="G35" s="4">
        <f t="shared" si="1"/>
        <v>800</v>
      </c>
      <c r="H35" s="4">
        <f t="shared" si="2"/>
        <v>80400</v>
      </c>
      <c r="I35" s="6">
        <f t="shared" si="3"/>
        <v>26800</v>
      </c>
    </row>
    <row r="36" spans="1:9">
      <c r="A36" s="2">
        <v>44069</v>
      </c>
      <c r="B36" t="s">
        <v>27</v>
      </c>
      <c r="C36" t="s">
        <v>15</v>
      </c>
      <c r="D36" t="s">
        <v>19</v>
      </c>
      <c r="E36" s="3">
        <v>149</v>
      </c>
      <c r="F36" s="4">
        <f t="shared" si="0"/>
        <v>1000</v>
      </c>
      <c r="G36" s="4">
        <f t="shared" si="1"/>
        <v>700</v>
      </c>
      <c r="H36" s="4">
        <f t="shared" si="2"/>
        <v>149000</v>
      </c>
      <c r="I36" s="6">
        <f t="shared" si="3"/>
        <v>44700</v>
      </c>
    </row>
    <row r="37" spans="1:9">
      <c r="A37" s="2">
        <v>44378</v>
      </c>
      <c r="B37" t="s">
        <v>20</v>
      </c>
      <c r="C37" t="s">
        <v>18</v>
      </c>
      <c r="D37" t="s">
        <v>26</v>
      </c>
      <c r="E37" s="3">
        <v>104</v>
      </c>
      <c r="F37" s="4">
        <f t="shared" si="0"/>
        <v>600</v>
      </c>
      <c r="G37" s="4">
        <f t="shared" si="1"/>
        <v>400</v>
      </c>
      <c r="H37" s="4">
        <f t="shared" si="2"/>
        <v>62400</v>
      </c>
      <c r="I37" s="6">
        <f t="shared" si="3"/>
        <v>20800</v>
      </c>
    </row>
    <row r="38" spans="1:9">
      <c r="A38" s="2">
        <v>44404</v>
      </c>
      <c r="B38" t="s">
        <v>24</v>
      </c>
      <c r="C38" t="s">
        <v>9</v>
      </c>
      <c r="D38" t="s">
        <v>26</v>
      </c>
      <c r="E38" s="3">
        <v>57</v>
      </c>
      <c r="F38" s="4">
        <f t="shared" si="0"/>
        <v>600</v>
      </c>
      <c r="G38" s="4">
        <f t="shared" si="1"/>
        <v>400</v>
      </c>
      <c r="H38" s="4">
        <f t="shared" si="2"/>
        <v>34200</v>
      </c>
      <c r="I38" s="6">
        <f t="shared" si="3"/>
        <v>11400</v>
      </c>
    </row>
    <row r="39" spans="1:9">
      <c r="A39" s="2">
        <v>44109</v>
      </c>
      <c r="B39" t="s">
        <v>14</v>
      </c>
      <c r="C39" t="s">
        <v>12</v>
      </c>
      <c r="D39" t="s">
        <v>26</v>
      </c>
      <c r="E39" s="3">
        <v>90</v>
      </c>
      <c r="F39" s="4">
        <f t="shared" si="0"/>
        <v>600</v>
      </c>
      <c r="G39" s="4">
        <f t="shared" si="1"/>
        <v>400</v>
      </c>
      <c r="H39" s="4">
        <f t="shared" si="2"/>
        <v>54000</v>
      </c>
      <c r="I39" s="6">
        <f t="shared" si="3"/>
        <v>18000</v>
      </c>
    </row>
    <row r="40" spans="1:9">
      <c r="A40" s="2">
        <v>44076</v>
      </c>
      <c r="B40" t="s">
        <v>22</v>
      </c>
      <c r="C40" t="s">
        <v>15</v>
      </c>
      <c r="D40" t="s">
        <v>26</v>
      </c>
      <c r="E40" s="3">
        <v>67</v>
      </c>
      <c r="F40" s="4">
        <f t="shared" si="0"/>
        <v>600</v>
      </c>
      <c r="G40" s="4">
        <f t="shared" si="1"/>
        <v>400</v>
      </c>
      <c r="H40" s="4">
        <f t="shared" si="2"/>
        <v>40200</v>
      </c>
      <c r="I40" s="6">
        <f t="shared" si="3"/>
        <v>13400</v>
      </c>
    </row>
    <row r="41" spans="1:9">
      <c r="A41" s="2">
        <v>44441</v>
      </c>
      <c r="B41" t="s">
        <v>8</v>
      </c>
      <c r="C41" t="s">
        <v>18</v>
      </c>
      <c r="D41" t="s">
        <v>21</v>
      </c>
      <c r="E41" s="3">
        <v>127</v>
      </c>
      <c r="F41" s="4">
        <f t="shared" si="0"/>
        <v>4000</v>
      </c>
      <c r="G41" s="4">
        <f t="shared" si="1"/>
        <v>3000</v>
      </c>
      <c r="H41" s="4">
        <f t="shared" si="2"/>
        <v>508000</v>
      </c>
      <c r="I41" s="6">
        <f t="shared" si="3"/>
        <v>127000</v>
      </c>
    </row>
    <row r="42" spans="1:9">
      <c r="A42" s="2">
        <v>44299</v>
      </c>
      <c r="B42" t="s">
        <v>22</v>
      </c>
      <c r="C42" t="s">
        <v>9</v>
      </c>
      <c r="D42" t="s">
        <v>19</v>
      </c>
      <c r="E42" s="3">
        <v>108</v>
      </c>
      <c r="F42" s="4">
        <f t="shared" si="0"/>
        <v>1000</v>
      </c>
      <c r="G42" s="4">
        <f t="shared" si="1"/>
        <v>700</v>
      </c>
      <c r="H42" s="4">
        <f t="shared" si="2"/>
        <v>108000</v>
      </c>
      <c r="I42" s="6">
        <f t="shared" si="3"/>
        <v>32400</v>
      </c>
    </row>
    <row r="43" spans="1:9">
      <c r="A43" s="2">
        <v>44322</v>
      </c>
      <c r="B43" t="s">
        <v>14</v>
      </c>
      <c r="C43" t="s">
        <v>12</v>
      </c>
      <c r="D43" t="s">
        <v>13</v>
      </c>
      <c r="E43" s="3">
        <v>66</v>
      </c>
      <c r="F43" s="4">
        <f t="shared" si="0"/>
        <v>3500</v>
      </c>
      <c r="G43" s="4">
        <f t="shared" si="1"/>
        <v>2500</v>
      </c>
      <c r="H43" s="4">
        <f t="shared" si="2"/>
        <v>231000</v>
      </c>
      <c r="I43" s="6">
        <f t="shared" si="3"/>
        <v>66000</v>
      </c>
    </row>
    <row r="44" spans="1:9">
      <c r="A44" s="2">
        <v>44211</v>
      </c>
      <c r="B44" t="s">
        <v>8</v>
      </c>
      <c r="C44" t="s">
        <v>18</v>
      </c>
      <c r="D44" t="s">
        <v>10</v>
      </c>
      <c r="E44" s="3">
        <v>78</v>
      </c>
      <c r="F44" s="4">
        <f t="shared" si="0"/>
        <v>6000</v>
      </c>
      <c r="G44" s="4">
        <f t="shared" si="1"/>
        <v>4000</v>
      </c>
      <c r="H44" s="4">
        <f t="shared" si="2"/>
        <v>468000</v>
      </c>
      <c r="I44" s="6">
        <f t="shared" si="3"/>
        <v>156000</v>
      </c>
    </row>
    <row r="45" spans="1:9">
      <c r="A45" s="2">
        <v>44070</v>
      </c>
      <c r="B45" t="s">
        <v>24</v>
      </c>
      <c r="C45" t="s">
        <v>15</v>
      </c>
      <c r="D45" t="s">
        <v>19</v>
      </c>
      <c r="E45" s="3">
        <v>69</v>
      </c>
      <c r="F45" s="4">
        <f t="shared" si="0"/>
        <v>1000</v>
      </c>
      <c r="G45" s="4">
        <f t="shared" si="1"/>
        <v>700</v>
      </c>
      <c r="H45" s="4">
        <f t="shared" si="2"/>
        <v>69000</v>
      </c>
      <c r="I45" s="6">
        <f t="shared" si="3"/>
        <v>20700</v>
      </c>
    </row>
    <row r="46" spans="1:9">
      <c r="A46" s="2">
        <v>44232</v>
      </c>
      <c r="B46" t="s">
        <v>20</v>
      </c>
      <c r="C46" t="s">
        <v>9</v>
      </c>
      <c r="D46" t="s">
        <v>16</v>
      </c>
      <c r="E46" s="3">
        <v>59</v>
      </c>
      <c r="F46" s="4">
        <f t="shared" si="0"/>
        <v>1200</v>
      </c>
      <c r="G46" s="4">
        <f t="shared" si="1"/>
        <v>800</v>
      </c>
      <c r="H46" s="4">
        <f t="shared" si="2"/>
        <v>70800</v>
      </c>
      <c r="I46" s="6">
        <f t="shared" si="3"/>
        <v>23600</v>
      </c>
    </row>
    <row r="47" spans="1:9">
      <c r="A47" s="2">
        <v>44517</v>
      </c>
      <c r="B47" t="s">
        <v>27</v>
      </c>
      <c r="C47" t="s">
        <v>15</v>
      </c>
      <c r="D47" t="s">
        <v>26</v>
      </c>
      <c r="E47" s="3">
        <v>109</v>
      </c>
      <c r="F47" s="4">
        <f t="shared" si="0"/>
        <v>600</v>
      </c>
      <c r="G47" s="4">
        <f t="shared" si="1"/>
        <v>400</v>
      </c>
      <c r="H47" s="4">
        <f t="shared" si="2"/>
        <v>65400</v>
      </c>
      <c r="I47" s="6">
        <f t="shared" si="3"/>
        <v>21800</v>
      </c>
    </row>
    <row r="48" spans="1:9">
      <c r="A48" s="2">
        <v>44193</v>
      </c>
      <c r="B48" t="s">
        <v>25</v>
      </c>
      <c r="C48" t="s">
        <v>12</v>
      </c>
      <c r="D48" t="s">
        <v>21</v>
      </c>
      <c r="E48" s="3">
        <v>61</v>
      </c>
      <c r="F48" s="4">
        <f t="shared" si="0"/>
        <v>4000</v>
      </c>
      <c r="G48" s="4">
        <f t="shared" si="1"/>
        <v>3000</v>
      </c>
      <c r="H48" s="4">
        <f t="shared" si="2"/>
        <v>244000</v>
      </c>
      <c r="I48" s="6">
        <f t="shared" si="3"/>
        <v>61000</v>
      </c>
    </row>
    <row r="49" spans="1:9">
      <c r="A49" s="2">
        <v>44496</v>
      </c>
      <c r="B49" t="s">
        <v>20</v>
      </c>
      <c r="C49" t="s">
        <v>18</v>
      </c>
      <c r="D49" t="s">
        <v>26</v>
      </c>
      <c r="E49" s="3">
        <v>130</v>
      </c>
      <c r="F49" s="4">
        <f t="shared" si="0"/>
        <v>600</v>
      </c>
      <c r="G49" s="4">
        <f t="shared" si="1"/>
        <v>400</v>
      </c>
      <c r="H49" s="4">
        <f t="shared" si="2"/>
        <v>78000</v>
      </c>
      <c r="I49" s="6">
        <f t="shared" si="3"/>
        <v>26000</v>
      </c>
    </row>
    <row r="50" spans="1:9">
      <c r="A50" s="2">
        <v>44502</v>
      </c>
      <c r="B50" t="s">
        <v>17</v>
      </c>
      <c r="C50" t="s">
        <v>15</v>
      </c>
      <c r="D50" t="s">
        <v>13</v>
      </c>
      <c r="E50" s="3">
        <v>60</v>
      </c>
      <c r="F50" s="4">
        <f t="shared" si="0"/>
        <v>3500</v>
      </c>
      <c r="G50" s="4">
        <f t="shared" si="1"/>
        <v>2500</v>
      </c>
      <c r="H50" s="4">
        <f t="shared" si="2"/>
        <v>210000</v>
      </c>
      <c r="I50" s="6">
        <f t="shared" si="3"/>
        <v>60000</v>
      </c>
    </row>
    <row r="51" spans="1:9">
      <c r="A51" s="2">
        <v>43958</v>
      </c>
      <c r="B51" t="s">
        <v>11</v>
      </c>
      <c r="C51" t="s">
        <v>12</v>
      </c>
      <c r="D51" t="s">
        <v>10</v>
      </c>
      <c r="E51" s="3">
        <v>73</v>
      </c>
      <c r="F51" s="4">
        <f t="shared" si="0"/>
        <v>6000</v>
      </c>
      <c r="G51" s="4">
        <f t="shared" si="1"/>
        <v>4000</v>
      </c>
      <c r="H51" s="4">
        <f t="shared" si="2"/>
        <v>438000</v>
      </c>
      <c r="I51" s="6">
        <f t="shared" si="3"/>
        <v>146000</v>
      </c>
    </row>
  </sheetData>
  <autoFilter ref="K3:K8" xr:uid="{DA63F5E9-152D-46AC-941B-C6B4A36AD239}"/>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SANKARI.PRIYA</cp:lastModifiedBy>
  <cp:lastPrinted>2025-12-26T06:39:27Z</cp:lastPrinted>
  <dcterms:created xsi:type="dcterms:W3CDTF">2024-05-30T14:35:02Z</dcterms:created>
  <dcterms:modified xsi:type="dcterms:W3CDTF">2025-12-27T17:55:54Z</dcterms:modified>
</cp:coreProperties>
</file>